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diego.b.silva\Desktop\Modelo\"/>
    </mc:Choice>
  </mc:AlternateContent>
  <xr:revisionPtr revIDLastSave="0" documentId="13_ncr:1_{5684C4C3-EB26-48F2-81A6-BCC79EED49E4}" xr6:coauthVersionLast="47" xr6:coauthVersionMax="47" xr10:uidLastSave="{00000000-0000-0000-0000-000000000000}"/>
  <bookViews>
    <workbookView xWindow="-108" yWindow="-108" windowWidth="23256" windowHeight="12456" tabRatio="989" firstSheet="7" activeTab="16" xr2:uid="{00000000-000D-0000-FFFF-FFFF00000000}"/>
  </bookViews>
  <sheets>
    <sheet name="SC" sheetId="1" r:id="rId1"/>
    <sheet name="S.A." sheetId="2" r:id="rId2"/>
    <sheet name="Reservas" sheetId="3" r:id="rId3"/>
    <sheet name="Notas Fiscais" sheetId="4" r:id="rId4"/>
    <sheet name="NF Serviços" sheetId="5" r:id="rId5"/>
    <sheet name="Devolução" sheetId="6" r:id="rId6"/>
    <sheet name="Frete Geral" sheetId="7" r:id="rId7"/>
    <sheet name="Frete (Outros)" sheetId="9" r:id="rId8"/>
    <sheet name="Qualidade" sheetId="10" r:id="rId9"/>
    <sheet name="Saída Reparo" sheetId="11" r:id="rId10"/>
    <sheet name="Retorno Reparo" sheetId="12" r:id="rId11"/>
    <sheet name="Refratário" sheetId="13" r:id="rId12"/>
    <sheet name="Inventário Geral" sheetId="14" r:id="rId13"/>
    <sheet name="Armazém Insumos" sheetId="15" r:id="rId14"/>
    <sheet name="Tabela Insumos" sheetId="16" r:id="rId15"/>
    <sheet name="Obsolescência" sheetId="17" r:id="rId16"/>
    <sheet name="Apuração Armazéns" sheetId="18" r:id="rId17"/>
    <sheet name="Estoque Geral Cariacica " sheetId="19" r:id="rId18"/>
  </sheets>
  <externalReferences>
    <externalReference r:id="rId19"/>
  </externalReferences>
  <calcPr calcId="191029"/>
</workbook>
</file>

<file path=xl/calcChain.xml><?xml version="1.0" encoding="utf-8"?>
<calcChain xmlns="http://schemas.openxmlformats.org/spreadsheetml/2006/main">
  <c r="F2" i="18" l="1" a="1"/>
  <c r="F13" i="18" s="1"/>
  <c r="E11" i="18"/>
  <c r="E7" i="18"/>
  <c r="E5" i="18"/>
  <c r="E4" i="18"/>
  <c r="E3" i="18"/>
  <c r="E2" i="18"/>
  <c r="E2" i="18" a="1"/>
  <c r="E13" i="18" s="1"/>
  <c r="C10" i="18"/>
  <c r="C9" i="18"/>
  <c r="C8" i="18"/>
  <c r="C6" i="18"/>
  <c r="C5" i="18"/>
  <c r="C4" i="18"/>
  <c r="C3" i="18"/>
  <c r="C2" i="18"/>
  <c r="C2" i="18" a="1"/>
  <c r="C13" i="18" s="1"/>
  <c r="J13" i="10"/>
  <c r="J3" i="10"/>
  <c r="J4" i="10"/>
  <c r="J5" i="10"/>
  <c r="J6" i="10"/>
  <c r="J7" i="10"/>
  <c r="J8" i="10"/>
  <c r="J9" i="10"/>
  <c r="J10" i="10"/>
  <c r="J11" i="10"/>
  <c r="J12" i="10"/>
  <c r="J2" i="10"/>
  <c r="C6" i="1"/>
  <c r="C4" i="9"/>
  <c r="D3" i="16"/>
  <c r="F3" i="16" s="1"/>
  <c r="E3" i="16" s="1"/>
  <c r="D4" i="16"/>
  <c r="F4" i="16" s="1"/>
  <c r="E4" i="16" s="1"/>
  <c r="D5" i="16"/>
  <c r="F5" i="16" s="1"/>
  <c r="E5" i="16" s="1"/>
  <c r="D6" i="16"/>
  <c r="F6" i="16" s="1"/>
  <c r="E6" i="16" s="1"/>
  <c r="D7" i="16"/>
  <c r="F7" i="16" s="1"/>
  <c r="E7" i="16" s="1"/>
  <c r="D8" i="16"/>
  <c r="F8" i="16" s="1"/>
  <c r="E8" i="16" s="1"/>
  <c r="D9" i="16"/>
  <c r="F9" i="16" s="1"/>
  <c r="E9" i="16" s="1"/>
  <c r="D10" i="16"/>
  <c r="F10" i="16" s="1"/>
  <c r="E10" i="16" s="1"/>
  <c r="D11" i="16"/>
  <c r="F11" i="16" s="1"/>
  <c r="E11" i="16" s="1"/>
  <c r="D12" i="16"/>
  <c r="F12" i="16" s="1"/>
  <c r="E12" i="16" s="1"/>
  <c r="D13" i="16"/>
  <c r="F13" i="16" s="1"/>
  <c r="G13" i="16" s="1"/>
  <c r="H13" i="16" s="1"/>
  <c r="D14" i="16"/>
  <c r="F14" i="16" s="1"/>
  <c r="E14" i="16" s="1"/>
  <c r="D15" i="16"/>
  <c r="F15" i="16" s="1"/>
  <c r="E15" i="16" s="1"/>
  <c r="D16" i="16"/>
  <c r="F16" i="16" s="1"/>
  <c r="E16" i="16" s="1"/>
  <c r="D17" i="16"/>
  <c r="F17" i="16" s="1"/>
  <c r="E17" i="16" s="1"/>
  <c r="D18" i="16"/>
  <c r="F18" i="16" s="1"/>
  <c r="E18" i="16" s="1"/>
  <c r="D19" i="16"/>
  <c r="F19" i="16" s="1"/>
  <c r="E19" i="16" s="1"/>
  <c r="D20" i="16"/>
  <c r="F20" i="16" s="1"/>
  <c r="E20" i="16" s="1"/>
  <c r="D2" i="16"/>
  <c r="F2" i="16" s="1"/>
  <c r="E2" i="16" s="1"/>
  <c r="E3" i="15"/>
  <c r="E4" i="15"/>
  <c r="E5" i="15"/>
  <c r="E6" i="15"/>
  <c r="E7" i="15"/>
  <c r="E8" i="15"/>
  <c r="E9" i="15"/>
  <c r="E10" i="15"/>
  <c r="E11" i="15"/>
  <c r="E12" i="15"/>
  <c r="E13" i="15"/>
  <c r="E2" i="15"/>
  <c r="D2" i="15"/>
  <c r="D3" i="15"/>
  <c r="D4" i="15"/>
  <c r="D5" i="15"/>
  <c r="D6" i="15"/>
  <c r="D7" i="15"/>
  <c r="D8" i="15"/>
  <c r="D9" i="15"/>
  <c r="D10" i="15"/>
  <c r="D11" i="15"/>
  <c r="D12" i="15"/>
  <c r="D13" i="15"/>
  <c r="C3" i="15"/>
  <c r="C4" i="15"/>
  <c r="C5" i="15"/>
  <c r="C6" i="15"/>
  <c r="C7" i="15"/>
  <c r="C8" i="15"/>
  <c r="C9" i="15"/>
  <c r="C10" i="15"/>
  <c r="C11" i="15"/>
  <c r="C12" i="15"/>
  <c r="C13" i="15"/>
  <c r="C2" i="15"/>
  <c r="I3" i="14"/>
  <c r="I4" i="14"/>
  <c r="I5" i="14"/>
  <c r="I6" i="14"/>
  <c r="I7" i="14"/>
  <c r="I8" i="14"/>
  <c r="I2" i="14"/>
  <c r="G3" i="14"/>
  <c r="G4" i="14"/>
  <c r="G5" i="14"/>
  <c r="G6" i="14"/>
  <c r="G7" i="14"/>
  <c r="G8" i="14"/>
  <c r="G2" i="14"/>
  <c r="E3" i="14"/>
  <c r="E4" i="14"/>
  <c r="E5" i="14"/>
  <c r="E6" i="14"/>
  <c r="E7" i="14"/>
  <c r="E8" i="14"/>
  <c r="E2" i="14"/>
  <c r="D3" i="14"/>
  <c r="H3" i="14" s="1"/>
  <c r="D4" i="14"/>
  <c r="F4" i="14" s="1"/>
  <c r="D5" i="14"/>
  <c r="F5" i="14" s="1"/>
  <c r="D6" i="14"/>
  <c r="F6" i="14" s="1"/>
  <c r="D7" i="14"/>
  <c r="F7" i="14" s="1"/>
  <c r="D8" i="14"/>
  <c r="F8" i="14" s="1"/>
  <c r="D2" i="14"/>
  <c r="F2" i="14" s="1"/>
  <c r="L3" i="13"/>
  <c r="K3" i="13" s="1"/>
  <c r="L4" i="13"/>
  <c r="K4" i="13" s="1"/>
  <c r="L5" i="13"/>
  <c r="K5" i="13" s="1"/>
  <c r="L6" i="13"/>
  <c r="K6" i="13" s="1"/>
  <c r="L7" i="13"/>
  <c r="K7" i="13" s="1"/>
  <c r="L8" i="13"/>
  <c r="K8" i="13" s="1"/>
  <c r="L9" i="13"/>
  <c r="K9" i="13" s="1"/>
  <c r="L10" i="13"/>
  <c r="K10" i="13" s="1"/>
  <c r="L11" i="13"/>
  <c r="K11" i="13" s="1"/>
  <c r="L12" i="13"/>
  <c r="K12" i="13" s="1"/>
  <c r="L13" i="13"/>
  <c r="K13" i="13" s="1"/>
  <c r="L2" i="13"/>
  <c r="K2" i="13" s="1"/>
  <c r="J3" i="13"/>
  <c r="J4" i="13"/>
  <c r="J5" i="13"/>
  <c r="J6" i="13"/>
  <c r="J7" i="13"/>
  <c r="J8" i="13"/>
  <c r="J9" i="13"/>
  <c r="J10" i="13"/>
  <c r="J11" i="13"/>
  <c r="J12" i="13"/>
  <c r="J13" i="13"/>
  <c r="J2" i="13"/>
  <c r="I3" i="13"/>
  <c r="I4" i="13"/>
  <c r="I5" i="13"/>
  <c r="I6" i="13"/>
  <c r="I7" i="13"/>
  <c r="I8" i="13"/>
  <c r="I9" i="13"/>
  <c r="I10" i="13"/>
  <c r="I11" i="13"/>
  <c r="I12" i="13"/>
  <c r="I13" i="13"/>
  <c r="I2" i="13"/>
  <c r="H3" i="13"/>
  <c r="H4" i="13"/>
  <c r="H5" i="13"/>
  <c r="H6" i="13"/>
  <c r="H7" i="13"/>
  <c r="H8" i="13"/>
  <c r="H9" i="13"/>
  <c r="H10" i="13"/>
  <c r="H11" i="13"/>
  <c r="H12" i="13"/>
  <c r="H13" i="13"/>
  <c r="H2" i="13"/>
  <c r="G3" i="13"/>
  <c r="G4" i="13"/>
  <c r="G5" i="13"/>
  <c r="G6" i="13"/>
  <c r="G7" i="13"/>
  <c r="G8" i="13"/>
  <c r="G9" i="13"/>
  <c r="G10" i="13"/>
  <c r="G11" i="13"/>
  <c r="G12" i="13"/>
  <c r="G13" i="13"/>
  <c r="G2" i="13"/>
  <c r="F3" i="13"/>
  <c r="F4" i="13"/>
  <c r="F5" i="13"/>
  <c r="F6" i="13"/>
  <c r="F7" i="13"/>
  <c r="F8" i="13"/>
  <c r="F9" i="13"/>
  <c r="F10" i="13"/>
  <c r="F11" i="13"/>
  <c r="F12" i="13"/>
  <c r="F13" i="13"/>
  <c r="F2" i="13"/>
  <c r="C3" i="13"/>
  <c r="D3" i="13" s="1"/>
  <c r="E3" i="13" s="1"/>
  <c r="C4" i="13"/>
  <c r="D4" i="13" s="1"/>
  <c r="E4" i="13" s="1"/>
  <c r="C5" i="13"/>
  <c r="D5" i="13" s="1"/>
  <c r="E5" i="13" s="1"/>
  <c r="C6" i="13"/>
  <c r="D6" i="13" s="1"/>
  <c r="E6" i="13" s="1"/>
  <c r="C7" i="13"/>
  <c r="D7" i="13" s="1"/>
  <c r="E7" i="13" s="1"/>
  <c r="C8" i="13"/>
  <c r="D8" i="13" s="1"/>
  <c r="E8" i="13" s="1"/>
  <c r="C9" i="13"/>
  <c r="D9" i="13" s="1"/>
  <c r="E9" i="13" s="1"/>
  <c r="C10" i="13"/>
  <c r="D10" i="13" s="1"/>
  <c r="E10" i="13" s="1"/>
  <c r="C11" i="13"/>
  <c r="D11" i="13" s="1"/>
  <c r="E11" i="13" s="1"/>
  <c r="C12" i="13"/>
  <c r="D12" i="13" s="1"/>
  <c r="E12" i="13" s="1"/>
  <c r="C13" i="13"/>
  <c r="D13" i="13" s="1"/>
  <c r="E13" i="13" s="1"/>
  <c r="C2" i="13"/>
  <c r="D2" i="13" s="1"/>
  <c r="G3" i="12"/>
  <c r="G4" i="12"/>
  <c r="G5" i="12"/>
  <c r="G6" i="12"/>
  <c r="G7" i="12"/>
  <c r="G8" i="12"/>
  <c r="G9" i="12"/>
  <c r="G10" i="12"/>
  <c r="G11" i="12"/>
  <c r="G12" i="12"/>
  <c r="G13" i="12"/>
  <c r="G2" i="12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2" i="12"/>
  <c r="D2" i="12" s="1"/>
  <c r="C3" i="11"/>
  <c r="D3" i="11" s="1"/>
  <c r="C4" i="11"/>
  <c r="D4" i="11" s="1"/>
  <c r="C5" i="11"/>
  <c r="D5" i="11" s="1"/>
  <c r="C6" i="11"/>
  <c r="D6" i="11" s="1"/>
  <c r="C7" i="11"/>
  <c r="D7" i="11" s="1"/>
  <c r="C8" i="11"/>
  <c r="D8" i="11" s="1"/>
  <c r="C9" i="11"/>
  <c r="D9" i="11" s="1"/>
  <c r="C10" i="11"/>
  <c r="D10" i="11" s="1"/>
  <c r="C11" i="11"/>
  <c r="D11" i="11" s="1"/>
  <c r="C12" i="11"/>
  <c r="D12" i="11" s="1"/>
  <c r="C13" i="11"/>
  <c r="D13" i="11" s="1"/>
  <c r="C2" i="11"/>
  <c r="D2" i="11" s="1"/>
  <c r="E3" i="10"/>
  <c r="E4" i="10"/>
  <c r="E5" i="10"/>
  <c r="E6" i="10"/>
  <c r="E7" i="10"/>
  <c r="E8" i="10"/>
  <c r="E9" i="10"/>
  <c r="E10" i="10"/>
  <c r="E11" i="10"/>
  <c r="E12" i="10"/>
  <c r="E13" i="10"/>
  <c r="E2" i="10"/>
  <c r="C3" i="10"/>
  <c r="D3" i="10" s="1"/>
  <c r="C4" i="10"/>
  <c r="D4" i="10" s="1"/>
  <c r="C5" i="10"/>
  <c r="D5" i="10" s="1"/>
  <c r="C6" i="10"/>
  <c r="D6" i="10" s="1"/>
  <c r="C7" i="10"/>
  <c r="D7" i="10" s="1"/>
  <c r="C8" i="10"/>
  <c r="D8" i="10" s="1"/>
  <c r="C9" i="10"/>
  <c r="D9" i="10" s="1"/>
  <c r="C10" i="10"/>
  <c r="D10" i="10" s="1"/>
  <c r="C11" i="10"/>
  <c r="D11" i="10" s="1"/>
  <c r="C12" i="10"/>
  <c r="D12" i="10" s="1"/>
  <c r="C13" i="10"/>
  <c r="D13" i="10" s="1"/>
  <c r="C2" i="10"/>
  <c r="D2" i="10" s="1"/>
  <c r="D3" i="9"/>
  <c r="D4" i="9"/>
  <c r="D5" i="9"/>
  <c r="D6" i="9"/>
  <c r="D7" i="9"/>
  <c r="D8" i="9"/>
  <c r="D9" i="9"/>
  <c r="D10" i="9"/>
  <c r="D11" i="9"/>
  <c r="D12" i="9"/>
  <c r="D13" i="9"/>
  <c r="D2" i="9"/>
  <c r="C3" i="9"/>
  <c r="C5" i="9"/>
  <c r="C6" i="9"/>
  <c r="C7" i="9"/>
  <c r="C8" i="9"/>
  <c r="C9" i="9"/>
  <c r="C10" i="9"/>
  <c r="C11" i="9"/>
  <c r="C12" i="9"/>
  <c r="C13" i="9"/>
  <c r="C2" i="9"/>
  <c r="D3" i="7"/>
  <c r="E3" i="7" s="1"/>
  <c r="D4" i="7"/>
  <c r="E4" i="7" s="1"/>
  <c r="D5" i="7"/>
  <c r="E5" i="7" s="1"/>
  <c r="D6" i="7"/>
  <c r="E6" i="7" s="1"/>
  <c r="D7" i="7"/>
  <c r="E7" i="7" s="1"/>
  <c r="D8" i="7"/>
  <c r="E8" i="7" s="1"/>
  <c r="D9" i="7"/>
  <c r="E9" i="7" s="1"/>
  <c r="D10" i="7"/>
  <c r="D11" i="7"/>
  <c r="E11" i="7" s="1"/>
  <c r="D12" i="7"/>
  <c r="E12" i="7" s="1"/>
  <c r="D13" i="7"/>
  <c r="E13" i="7" s="1"/>
  <c r="D2" i="7"/>
  <c r="E2" i="7" s="1"/>
  <c r="F2" i="7" s="1"/>
  <c r="C3" i="7"/>
  <c r="C4" i="7"/>
  <c r="C5" i="7"/>
  <c r="C6" i="7"/>
  <c r="C7" i="7"/>
  <c r="C8" i="7"/>
  <c r="C9" i="7"/>
  <c r="C10" i="7"/>
  <c r="C11" i="7"/>
  <c r="C12" i="7"/>
  <c r="C13" i="7"/>
  <c r="C2" i="7"/>
  <c r="C3" i="6"/>
  <c r="D3" i="6" s="1"/>
  <c r="C4" i="6"/>
  <c r="D4" i="6" s="1"/>
  <c r="C5" i="6"/>
  <c r="D5" i="6" s="1"/>
  <c r="C6" i="6"/>
  <c r="D6" i="6" s="1"/>
  <c r="E6" i="6" s="1"/>
  <c r="C7" i="6"/>
  <c r="D7" i="6" s="1"/>
  <c r="C8" i="6"/>
  <c r="D8" i="6" s="1"/>
  <c r="C9" i="6"/>
  <c r="D9" i="6" s="1"/>
  <c r="C10" i="6"/>
  <c r="D10" i="6" s="1"/>
  <c r="C11" i="6"/>
  <c r="D11" i="6" s="1"/>
  <c r="C12" i="6"/>
  <c r="D12" i="6" s="1"/>
  <c r="C13" i="6"/>
  <c r="D13" i="6" s="1"/>
  <c r="E13" i="6" s="1"/>
  <c r="C2" i="6"/>
  <c r="D2" i="6" s="1"/>
  <c r="D3" i="5"/>
  <c r="D4" i="5"/>
  <c r="D5" i="5"/>
  <c r="D6" i="5"/>
  <c r="D7" i="5"/>
  <c r="D8" i="5"/>
  <c r="D9" i="5"/>
  <c r="D10" i="5"/>
  <c r="D11" i="5"/>
  <c r="D12" i="5"/>
  <c r="D13" i="5"/>
  <c r="D2" i="5"/>
  <c r="C3" i="5"/>
  <c r="C4" i="5"/>
  <c r="C5" i="5"/>
  <c r="C6" i="5"/>
  <c r="C7" i="5"/>
  <c r="C8" i="5"/>
  <c r="C9" i="5"/>
  <c r="C10" i="5"/>
  <c r="C11" i="5"/>
  <c r="C12" i="5"/>
  <c r="C13" i="5"/>
  <c r="C2" i="5"/>
  <c r="C3" i="4"/>
  <c r="C4" i="4"/>
  <c r="C5" i="4"/>
  <c r="C6" i="4"/>
  <c r="C7" i="4"/>
  <c r="C8" i="4"/>
  <c r="C9" i="4"/>
  <c r="C10" i="4"/>
  <c r="C11" i="4"/>
  <c r="C12" i="4"/>
  <c r="C13" i="4"/>
  <c r="C2" i="4"/>
  <c r="C3" i="3"/>
  <c r="C4" i="3"/>
  <c r="C5" i="3"/>
  <c r="C6" i="3"/>
  <c r="C7" i="3"/>
  <c r="C8" i="3"/>
  <c r="C9" i="3"/>
  <c r="C10" i="3"/>
  <c r="C11" i="3"/>
  <c r="C12" i="3"/>
  <c r="C13" i="3"/>
  <c r="C2" i="3"/>
  <c r="D3" i="3"/>
  <c r="D4" i="3"/>
  <c r="D5" i="3"/>
  <c r="D6" i="3"/>
  <c r="D7" i="3"/>
  <c r="D8" i="3"/>
  <c r="D9" i="3"/>
  <c r="D10" i="3"/>
  <c r="D11" i="3"/>
  <c r="D12" i="3"/>
  <c r="D13" i="3"/>
  <c r="D2" i="3"/>
  <c r="E3" i="3"/>
  <c r="E4" i="3"/>
  <c r="E5" i="3"/>
  <c r="E6" i="3"/>
  <c r="E7" i="3"/>
  <c r="E8" i="3"/>
  <c r="E9" i="3"/>
  <c r="E10" i="3"/>
  <c r="E11" i="3"/>
  <c r="E12" i="3"/>
  <c r="E13" i="3"/>
  <c r="E2" i="3"/>
  <c r="F3" i="3"/>
  <c r="F4" i="3"/>
  <c r="F5" i="3"/>
  <c r="F6" i="3"/>
  <c r="F7" i="3"/>
  <c r="F8" i="3"/>
  <c r="F9" i="3"/>
  <c r="F10" i="3"/>
  <c r="F11" i="3"/>
  <c r="F12" i="3"/>
  <c r="F13" i="3"/>
  <c r="F2" i="3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D2" i="2"/>
  <c r="C2" i="2"/>
  <c r="D3" i="1"/>
  <c r="D4" i="1"/>
  <c r="D5" i="1"/>
  <c r="D6" i="1"/>
  <c r="D7" i="1"/>
  <c r="D8" i="1"/>
  <c r="D9" i="1"/>
  <c r="D10" i="1"/>
  <c r="D11" i="1"/>
  <c r="D12" i="1"/>
  <c r="D13" i="1"/>
  <c r="D2" i="1"/>
  <c r="C5" i="1"/>
  <c r="C3" i="1"/>
  <c r="C4" i="1"/>
  <c r="C7" i="1"/>
  <c r="C8" i="1"/>
  <c r="C9" i="1"/>
  <c r="C10" i="1"/>
  <c r="C11" i="1"/>
  <c r="C12" i="1"/>
  <c r="C13" i="1"/>
  <c r="C2" i="1"/>
  <c r="E2" i="19" a="1"/>
  <c r="E4" i="19" s="1"/>
  <c r="C2" i="19" a="1"/>
  <c r="C5" i="19" s="1"/>
  <c r="I2" i="19" a="1"/>
  <c r="I3" i="19" s="1"/>
  <c r="H2" i="19" a="1"/>
  <c r="H4" i="19" s="1"/>
  <c r="G2" i="19" a="1"/>
  <c r="G13" i="19" s="1"/>
  <c r="F2" i="19" a="1"/>
  <c r="F10" i="19" s="1"/>
  <c r="F3" i="18" l="1"/>
  <c r="F5" i="18"/>
  <c r="F4" i="18"/>
  <c r="F6" i="18"/>
  <c r="F2" i="18"/>
  <c r="F7" i="18"/>
  <c r="F8" i="18"/>
  <c r="F9" i="18"/>
  <c r="F10" i="18"/>
  <c r="F11" i="18"/>
  <c r="F12" i="18"/>
  <c r="E6" i="18"/>
  <c r="E8" i="18"/>
  <c r="E9" i="18"/>
  <c r="E10" i="18"/>
  <c r="E12" i="18"/>
  <c r="C7" i="18"/>
  <c r="C11" i="18"/>
  <c r="C12" i="18"/>
  <c r="E12" i="9"/>
  <c r="E13" i="16"/>
  <c r="G20" i="16"/>
  <c r="H20" i="16" s="1"/>
  <c r="G14" i="16"/>
  <c r="H14" i="16" s="1"/>
  <c r="G12" i="16"/>
  <c r="H12" i="16" s="1"/>
  <c r="G11" i="16"/>
  <c r="H11" i="16" s="1"/>
  <c r="G10" i="16"/>
  <c r="H10" i="16" s="1"/>
  <c r="G9" i="16"/>
  <c r="H9" i="16" s="1"/>
  <c r="G8" i="16"/>
  <c r="H8" i="16" s="1"/>
  <c r="G19" i="16"/>
  <c r="H19" i="16" s="1"/>
  <c r="G7" i="16"/>
  <c r="H7" i="16" s="1"/>
  <c r="G18" i="16"/>
  <c r="H18" i="16" s="1"/>
  <c r="G6" i="16"/>
  <c r="H6" i="16" s="1"/>
  <c r="G17" i="16"/>
  <c r="H17" i="16" s="1"/>
  <c r="G5" i="16"/>
  <c r="H5" i="16" s="1"/>
  <c r="G16" i="16"/>
  <c r="H16" i="16" s="1"/>
  <c r="G4" i="16"/>
  <c r="H4" i="16" s="1"/>
  <c r="G15" i="16"/>
  <c r="H15" i="16" s="1"/>
  <c r="G3" i="16"/>
  <c r="H3" i="16" s="1"/>
  <c r="G2" i="16"/>
  <c r="H2" i="16" s="1"/>
  <c r="H8" i="14"/>
  <c r="H7" i="14"/>
  <c r="F3" i="14"/>
  <c r="H6" i="14"/>
  <c r="H5" i="14"/>
  <c r="H4" i="14"/>
  <c r="H2" i="14"/>
  <c r="E13" i="9"/>
  <c r="E13" i="12"/>
  <c r="F13" i="12" s="1"/>
  <c r="E10" i="7"/>
  <c r="F10" i="7" s="1"/>
  <c r="F8" i="7"/>
  <c r="F3" i="7"/>
  <c r="F12" i="7"/>
  <c r="F11" i="7"/>
  <c r="F9" i="7"/>
  <c r="F13" i="7"/>
  <c r="F7" i="7"/>
  <c r="F6" i="7"/>
  <c r="F5" i="7"/>
  <c r="F4" i="7"/>
  <c r="E12" i="6"/>
  <c r="E11" i="6"/>
  <c r="E10" i="6"/>
  <c r="E2" i="6"/>
  <c r="E9" i="6"/>
  <c r="E8" i="6"/>
  <c r="E7" i="6"/>
  <c r="E5" i="6"/>
  <c r="E4" i="6"/>
  <c r="E3" i="6"/>
  <c r="J12" i="3"/>
  <c r="J13" i="3"/>
  <c r="J10" i="3"/>
  <c r="J9" i="3"/>
  <c r="J8" i="3"/>
  <c r="J7" i="3"/>
  <c r="J6" i="3"/>
  <c r="J11" i="3"/>
  <c r="J3" i="3"/>
  <c r="J5" i="3"/>
  <c r="J4" i="3"/>
  <c r="F2" i="19"/>
  <c r="F5" i="19"/>
  <c r="F4" i="19"/>
  <c r="F3" i="19"/>
  <c r="F7" i="19"/>
  <c r="F9" i="19"/>
  <c r="F8" i="19"/>
  <c r="F6" i="19"/>
  <c r="H2" i="19"/>
  <c r="C13" i="19"/>
  <c r="C4" i="19"/>
  <c r="C3" i="19"/>
  <c r="C2" i="19"/>
  <c r="H13" i="19"/>
  <c r="H3" i="19"/>
  <c r="E12" i="19"/>
  <c r="E11" i="19"/>
  <c r="E10" i="19"/>
  <c r="E9" i="19"/>
  <c r="E8" i="19"/>
  <c r="E7" i="19"/>
  <c r="E6" i="19"/>
  <c r="E5" i="19"/>
  <c r="E3" i="19"/>
  <c r="E2" i="19"/>
  <c r="E13" i="19"/>
  <c r="C12" i="19"/>
  <c r="C11" i="19"/>
  <c r="C10" i="19"/>
  <c r="C9" i="19"/>
  <c r="C8" i="19"/>
  <c r="C7" i="19"/>
  <c r="C6" i="19"/>
  <c r="I2" i="19"/>
  <c r="I13" i="19"/>
  <c r="I12" i="19"/>
  <c r="I11" i="19"/>
  <c r="I10" i="19"/>
  <c r="I9" i="19"/>
  <c r="I8" i="19"/>
  <c r="I7" i="19"/>
  <c r="I6" i="19"/>
  <c r="I5" i="19"/>
  <c r="I4" i="19"/>
  <c r="H12" i="19"/>
  <c r="H11" i="19"/>
  <c r="H10" i="19"/>
  <c r="H9" i="19"/>
  <c r="H8" i="19"/>
  <c r="H7" i="19"/>
  <c r="H6" i="19"/>
  <c r="H5" i="19"/>
  <c r="G12" i="19"/>
  <c r="G11" i="19"/>
  <c r="G10" i="19"/>
  <c r="G9" i="19"/>
  <c r="G8" i="19"/>
  <c r="G7" i="19"/>
  <c r="G6" i="19"/>
  <c r="G5" i="19"/>
  <c r="G4" i="19"/>
  <c r="G3" i="19"/>
  <c r="G2" i="19"/>
  <c r="F13" i="19"/>
  <c r="F12" i="19"/>
  <c r="F11" i="19"/>
  <c r="I13" i="3" l="1"/>
  <c r="H13" i="3"/>
  <c r="G13" i="3"/>
  <c r="F13" i="10"/>
  <c r="G12" i="3" l="1"/>
  <c r="H12" i="3"/>
  <c r="I12" i="3"/>
  <c r="E12" i="12" l="1"/>
  <c r="F12" i="12" s="1"/>
  <c r="F12" i="10"/>
  <c r="E11" i="9" l="1"/>
  <c r="F11" i="10"/>
  <c r="E11" i="12" l="1"/>
  <c r="F11" i="12" s="1"/>
  <c r="I11" i="3"/>
  <c r="H11" i="3"/>
  <c r="G11" i="3"/>
  <c r="E10" i="12" l="1"/>
  <c r="F10" i="12" s="1"/>
  <c r="E10" i="9"/>
  <c r="I10" i="3"/>
  <c r="H10" i="3"/>
  <c r="G10" i="3"/>
  <c r="F10" i="10"/>
  <c r="E9" i="12"/>
  <c r="F9" i="12" s="1"/>
  <c r="E9" i="9" l="1"/>
  <c r="F9" i="10"/>
  <c r="I9" i="3"/>
  <c r="H9" i="3"/>
  <c r="G9" i="3"/>
  <c r="E2" i="13"/>
  <c r="E8" i="12"/>
  <c r="F8" i="12" s="1"/>
  <c r="E8" i="9"/>
  <c r="G7" i="3"/>
  <c r="I8" i="3"/>
  <c r="J2" i="3"/>
  <c r="H8" i="3"/>
  <c r="G8" i="3"/>
  <c r="F8" i="10"/>
  <c r="E7" i="12"/>
  <c r="F7" i="12" s="1"/>
  <c r="E7" i="9"/>
  <c r="F7" i="10"/>
  <c r="H7" i="3" l="1"/>
  <c r="I7" i="3"/>
  <c r="I6" i="3"/>
  <c r="H6" i="3"/>
  <c r="G6" i="3"/>
  <c r="E6" i="12"/>
  <c r="F6" i="12" s="1"/>
  <c r="E6" i="9" l="1"/>
  <c r="F6" i="10" l="1"/>
  <c r="E5" i="9"/>
  <c r="E5" i="12" l="1"/>
  <c r="F5" i="12" s="1"/>
  <c r="F3" i="10" l="1"/>
  <c r="F4" i="10"/>
  <c r="F5" i="10"/>
  <c r="H5" i="3" l="1"/>
  <c r="G4" i="3"/>
  <c r="E4" i="12"/>
  <c r="F4" i="12" s="1"/>
  <c r="E4" i="9"/>
  <c r="I5" i="3" l="1"/>
  <c r="G5" i="3"/>
  <c r="I4" i="3"/>
  <c r="H4" i="3"/>
  <c r="G3" i="3"/>
  <c r="H3" i="3"/>
  <c r="I3" i="3"/>
  <c r="F2" i="10"/>
  <c r="E3" i="12"/>
  <c r="F3" i="12" s="1"/>
  <c r="E3" i="9"/>
  <c r="G3" i="7" l="1"/>
  <c r="G4" i="7"/>
  <c r="G5" i="7"/>
  <c r="G6" i="7"/>
  <c r="G7" i="7"/>
  <c r="G8" i="7"/>
  <c r="G9" i="7"/>
  <c r="G10" i="7"/>
  <c r="G11" i="7"/>
  <c r="G12" i="7"/>
  <c r="G13" i="7"/>
  <c r="G2" i="17"/>
  <c r="F2" i="17"/>
  <c r="E2" i="12"/>
  <c r="F2" i="12" s="1"/>
  <c r="E2" i="9"/>
  <c r="E3" i="17" l="1"/>
  <c r="E6" i="17"/>
  <c r="E2" i="17"/>
  <c r="G2" i="3"/>
  <c r="H2" i="3"/>
  <c r="I2" i="3"/>
  <c r="E5" i="17"/>
  <c r="E4" i="17"/>
  <c r="G2" i="7"/>
</calcChain>
</file>

<file path=xl/sharedStrings.xml><?xml version="1.0" encoding="utf-8"?>
<sst xmlns="http://schemas.openxmlformats.org/spreadsheetml/2006/main" count="442" uniqueCount="187">
  <si>
    <t>Data</t>
  </si>
  <si>
    <t>Mês</t>
  </si>
  <si>
    <t>SC's</t>
  </si>
  <si>
    <t>Itens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</si>
  <si>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</si>
  <si>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</si>
  <si>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</si>
  <si>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</si>
  <si>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</si>
  <si>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</si>
  <si>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</si>
  <si>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</si>
  <si>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</si>
  <si>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</si>
  <si>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</si>
  <si>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</si>
  <si>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S.A.'s Atendidas</t>
  </si>
  <si>
    <t>Total de itens atendidos</t>
  </si>
  <si>
    <t>Totalmente Atendidos</t>
  </si>
  <si>
    <t>Parcialmente Atendidos</t>
  </si>
  <si>
    <t>Pendentes</t>
  </si>
  <si>
    <t>% Totalmente Atendidos</t>
  </si>
  <si>
    <t>% Parcialmente Atendidos</t>
  </si>
  <si>
    <t>% Pendentes</t>
  </si>
  <si>
    <t>Notas Fiscais Materiais</t>
  </si>
  <si>
    <t>Notas Fiscais Serviços</t>
  </si>
  <si>
    <t>Itens Materiais</t>
  </si>
  <si>
    <t>Itens Devolvidos</t>
  </si>
  <si>
    <t>Estoque</t>
  </si>
  <si>
    <t>Usuário</t>
  </si>
  <si>
    <t>Frete Normal</t>
  </si>
  <si>
    <t>Valor Expresso</t>
  </si>
  <si>
    <t>Valor Expresso 
(Usuário)</t>
  </si>
  <si>
    <t>Valor Expresso 
(Estoque)</t>
  </si>
  <si>
    <t>Total Frete</t>
  </si>
  <si>
    <t>Produto</t>
  </si>
  <si>
    <t>Custo</t>
  </si>
  <si>
    <t>Fornecedor</t>
  </si>
  <si>
    <t>Responsável</t>
  </si>
  <si>
    <t>Valor Expresso 
AL-VIX</t>
  </si>
  <si>
    <t>Valor Expresso 
WF</t>
  </si>
  <si>
    <t>Itens Lançados</t>
  </si>
  <si>
    <t>Itens Inspecionados</t>
  </si>
  <si>
    <t>Itens Não Conforme</t>
  </si>
  <si>
    <t>Percentual Inspeção</t>
  </si>
  <si>
    <t>Descrição</t>
  </si>
  <si>
    <t>Quantidade</t>
  </si>
  <si>
    <t>Informações</t>
  </si>
  <si>
    <t>Quantidade NF's</t>
  </si>
  <si>
    <t>Itens a reparar</t>
  </si>
  <si>
    <t>Itens Baixados</t>
  </si>
  <si>
    <t>Itens Armazenados</t>
  </si>
  <si>
    <t>Quantidade Itens Armazenados</t>
  </si>
  <si>
    <t>Custo Total Armazém 22</t>
  </si>
  <si>
    <t>Inventariados</t>
  </si>
  <si>
    <t>Valor Inventariado</t>
  </si>
  <si>
    <t>Valor Armazém 49</t>
  </si>
  <si>
    <t>Valor Armazém 39</t>
  </si>
  <si>
    <t>Itens Transferidos</t>
  </si>
  <si>
    <t>Total Recebido (NF)</t>
  </si>
  <si>
    <t>Valor Transferido</t>
  </si>
  <si>
    <t>NF's Recebidas</t>
  </si>
  <si>
    <t>Quantidade (TL)</t>
  </si>
  <si>
    <t>Armazém</t>
  </si>
  <si>
    <t>Quantidade Itens 
Estoque</t>
  </si>
  <si>
    <t>Valor Itens 
Estoque</t>
  </si>
  <si>
    <t>Quantidade Itens 
Inventariados</t>
  </si>
  <si>
    <t>Valor Itens Inventariados ($):</t>
  </si>
  <si>
    <t>Quantidade Itens 
Divergentes Positivo</t>
  </si>
  <si>
    <t>Valor Itens 
Divergentes Positivo</t>
  </si>
  <si>
    <t>Quantidade Itens 
Divergentes Negativo</t>
  </si>
  <si>
    <t>Valor Itens 
Divergentes Negativo</t>
  </si>
  <si>
    <t>Toneladas Transferidas</t>
  </si>
  <si>
    <t>Quantidade de Transferências</t>
  </si>
  <si>
    <t>Classe</t>
  </si>
  <si>
    <t>Previsão de Consumo</t>
  </si>
  <si>
    <t>Material Entregue</t>
  </si>
  <si>
    <t>Consumo Real</t>
  </si>
  <si>
    <t>Quantidade Solicitada</t>
  </si>
  <si>
    <t>Fornecido</t>
  </si>
  <si>
    <t>302451</t>
  </si>
  <si>
    <t>Palha de Arroz Calcinada</t>
  </si>
  <si>
    <t>Diversos</t>
  </si>
  <si>
    <t>7055832</t>
  </si>
  <si>
    <t xml:space="preserve">AM30 - Cobertura Isolante para Aços Líquidos </t>
  </si>
  <si>
    <t>7070965</t>
  </si>
  <si>
    <t>Cal Dolomítica 02 a 22 mm</t>
  </si>
  <si>
    <t>Cal</t>
  </si>
  <si>
    <t>7071820</t>
  </si>
  <si>
    <t>Cal Calcítica 03 a 19 mm</t>
  </si>
  <si>
    <t>7071923</t>
  </si>
  <si>
    <t>Ferro Silício 75%</t>
  </si>
  <si>
    <t>Ferro</t>
  </si>
  <si>
    <t>7071924</t>
  </si>
  <si>
    <t>Fluorita</t>
  </si>
  <si>
    <t>7071925</t>
  </si>
  <si>
    <t>Carbeto de Silício - SIC</t>
  </si>
  <si>
    <t>7071931</t>
  </si>
  <si>
    <t>Ferro Silício Manganês</t>
  </si>
  <si>
    <t>7071932</t>
  </si>
  <si>
    <t>Ferro Vanádio</t>
  </si>
  <si>
    <t>7071935</t>
  </si>
  <si>
    <t>Calcio Silício - Fio 13,00 mm</t>
  </si>
  <si>
    <t>7071938</t>
  </si>
  <si>
    <t>Carburante de incorporação - Granel</t>
  </si>
  <si>
    <t>Carburante</t>
  </si>
  <si>
    <t>7071955</t>
  </si>
  <si>
    <t>Cal Calcítica 10 a 40 mm</t>
  </si>
  <si>
    <t>7071957</t>
  </si>
  <si>
    <t>Cal Dolomítica 10 a 40 mm</t>
  </si>
  <si>
    <t>7071970</t>
  </si>
  <si>
    <t>Ferro Cromo Alto Carbono</t>
  </si>
  <si>
    <t>7071977</t>
  </si>
  <si>
    <t>Ferro Nióbio</t>
  </si>
  <si>
    <t>7071993</t>
  </si>
  <si>
    <t>Calcio Silício - Resíduo</t>
  </si>
  <si>
    <t>7071997</t>
  </si>
  <si>
    <t>Carburante de Carga Fria - Coque</t>
  </si>
  <si>
    <t>7071999</t>
  </si>
  <si>
    <t>Carbureto de Calcio</t>
  </si>
  <si>
    <t>7341784</t>
  </si>
  <si>
    <t>Carburante de incorporação - Saco</t>
  </si>
  <si>
    <t>Intervalo (Dias)</t>
  </si>
  <si>
    <t>Anos</t>
  </si>
  <si>
    <t>Quantidade de Itens</t>
  </si>
  <si>
    <t>Quantidade Percentual</t>
  </si>
  <si>
    <t>Total Itens</t>
  </si>
  <si>
    <t>Custo Total</t>
  </si>
  <si>
    <t>0 - 365</t>
  </si>
  <si>
    <t>365 - 730</t>
  </si>
  <si>
    <t>730 - 1095</t>
  </si>
  <si>
    <t>1095 - 1460</t>
  </si>
  <si>
    <t>1460 - 1882</t>
  </si>
  <si>
    <t>Eletrodo/Niple</t>
  </si>
  <si>
    <t>Insumos</t>
  </si>
  <si>
    <t>Peças de Reposição</t>
  </si>
  <si>
    <t>Refratário</t>
  </si>
  <si>
    <t>Cilindros</t>
  </si>
  <si>
    <t>Gases</t>
  </si>
  <si>
    <t>Oleo/Graxa</t>
  </si>
  <si>
    <t>Sem Estoque</t>
  </si>
  <si>
    <t>Bobina de cabo elétrico</t>
  </si>
  <si>
    <t>Placa Refratária Sanit</t>
  </si>
  <si>
    <t>Capacete de Segurança</t>
  </si>
  <si>
    <t>Diego Bernardes</t>
  </si>
  <si>
    <t>Maria Gomes</t>
  </si>
  <si>
    <t>Natalya Albuquerque</t>
  </si>
  <si>
    <t>Fornecedor A</t>
  </si>
  <si>
    <t>Fornecedor B</t>
  </si>
  <si>
    <t>Fornecedor C</t>
  </si>
  <si>
    <t>Fornecedor D</t>
  </si>
  <si>
    <t>Fornecedor E</t>
  </si>
  <si>
    <t>Blusão antichamas</t>
  </si>
  <si>
    <t>Luva de raspa e vaqueta</t>
  </si>
  <si>
    <t>Giovani Fernandes</t>
  </si>
  <si>
    <t>Ana Luiza</t>
  </si>
  <si>
    <t>Fornecedor F</t>
  </si>
  <si>
    <t>Fornecedor G</t>
  </si>
  <si>
    <t>Fornecedor H</t>
  </si>
  <si>
    <t>Fornecedor I</t>
  </si>
  <si>
    <t>Fornecedor J</t>
  </si>
  <si>
    <t>Marcos Paulo</t>
  </si>
  <si>
    <t>Higor</t>
  </si>
  <si>
    <t>Elizeu</t>
  </si>
  <si>
    <t>Rony</t>
  </si>
  <si>
    <t>Julia Faria</t>
  </si>
  <si>
    <t>Cabo de aço</t>
  </si>
  <si>
    <t>Porca M30</t>
  </si>
  <si>
    <t>Parafuso M30</t>
  </si>
  <si>
    <t>Óculos de Segurança Solus</t>
  </si>
  <si>
    <t>Perneira de Raspa</t>
  </si>
  <si>
    <t>Parafuso</t>
  </si>
  <si>
    <t>Porca</t>
  </si>
  <si>
    <t>Marca divergente do solicitado</t>
  </si>
  <si>
    <t>Material com defeito</t>
  </si>
  <si>
    <t>Medida errada</t>
  </si>
  <si>
    <t>Capacete de segurança</t>
  </si>
  <si>
    <t>Colete refletivo</t>
  </si>
  <si>
    <t>Botina de segurança</t>
  </si>
  <si>
    <t>Parafuso X</t>
  </si>
  <si>
    <t>Parafuso Y</t>
  </si>
  <si>
    <t>Parafuso Z</t>
  </si>
  <si>
    <t>Porca X</t>
  </si>
  <si>
    <t>Porca Y</t>
  </si>
  <si>
    <t>Porca Z</t>
  </si>
  <si>
    <t>Placa Refratária</t>
  </si>
  <si>
    <t>Material apresentou baixa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</si>
</sst>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0"/>
      <name val="Rubik"/>
    </font>
    <font>
      <sz val="11"/>
      <color theme="1"/>
      <name val="Rubik"/>
    </font>
    <font>
      <b/>
      <sz val="11"/>
      <color theme="0"/>
      <name val="Rubik"/>
    </font>
    <font>
      <sz val="11"/>
      <name val="Rubik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8">
    <xf numFmtId="0" fontId="0" fillId="0" borderId="0" xfId="0"/>
    <xf numFmtId="0" fontId="5" fillId="0" borderId="7" xfId="0" applyFont="1" applyBorder="1" applyAlignment="1" applyProtection="1">
      <alignment horizontal="center" vertical="center"/>
      <protection locked="0"/>
    </xf>
    <xf numFmtId="10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4" fontId="5" fillId="0" borderId="7" xfId="0" applyNumberFormat="1" applyFont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 applyProtection="1">
      <alignment horizontal="center" vertical="center"/>
      <protection locked="0"/>
    </xf>
    <xf numFmtId="164" fontId="5" fillId="0" borderId="7" xfId="0" applyNumberFormat="1" applyFont="1" applyBorder="1" applyAlignment="1" applyProtection="1">
      <alignment horizontal="center"/>
      <protection locked="0"/>
    </xf>
    <xf numFmtId="164" fontId="5" fillId="0" borderId="8" xfId="0" applyNumberFormat="1" applyFont="1" applyBorder="1" applyAlignment="1" applyProtection="1">
      <alignment horizontal="center"/>
      <protection locked="0"/>
    </xf>
    <xf numFmtId="9" fontId="5" fillId="0" borderId="7" xfId="0" applyNumberFormat="1" applyFont="1" applyBorder="1" applyAlignment="1" applyProtection="1">
      <alignment horizontal="center"/>
      <protection locked="0"/>
    </xf>
    <xf numFmtId="9" fontId="5" fillId="0" borderId="8" xfId="0" applyNumberFormat="1" applyFont="1" applyBorder="1" applyAlignment="1" applyProtection="1">
      <alignment horizontal="center"/>
      <protection locked="0"/>
    </xf>
    <xf numFmtId="10" fontId="5" fillId="0" borderId="7" xfId="0" applyNumberFormat="1" applyFont="1" applyBorder="1" applyAlignment="1" applyProtection="1">
      <alignment horizontal="center"/>
      <protection locked="0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28" xfId="0" applyFont="1" applyBorder="1" applyAlignment="1" applyProtection="1">
      <alignment horizontal="center"/>
      <protection locked="0"/>
    </xf>
    <xf numFmtId="164" fontId="5" fillId="0" borderId="23" xfId="0" applyNumberFormat="1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164" fontId="5" fillId="0" borderId="21" xfId="0" applyNumberFormat="1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2" fontId="7" fillId="4" borderId="10" xfId="0" applyNumberFormat="1" applyFont="1" applyFill="1" applyBorder="1" applyAlignment="1" applyProtection="1">
      <alignment horizontal="center" vertical="center"/>
      <protection locked="0"/>
    </xf>
    <xf numFmtId="2" fontId="7" fillId="0" borderId="10" xfId="0" applyNumberFormat="1" applyFont="1" applyBorder="1" applyAlignment="1" applyProtection="1">
      <alignment horizontal="center" vertical="center"/>
      <protection locked="0"/>
    </xf>
    <xf numFmtId="2" fontId="7" fillId="4" borderId="7" xfId="0" applyNumberFormat="1" applyFont="1" applyFill="1" applyBorder="1" applyAlignment="1" applyProtection="1">
      <alignment horizontal="center" vertical="center"/>
      <protection locked="0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7" fillId="0" borderId="8" xfId="0" applyNumberFormat="1" applyFont="1" applyBorder="1" applyAlignment="1" applyProtection="1">
      <alignment horizontal="center" vertical="center"/>
      <protection locked="0"/>
    </xf>
    <xf numFmtId="164" fontId="5" fillId="0" borderId="12" xfId="0" applyNumberFormat="1" applyFont="1" applyBorder="1" applyAlignment="1" applyProtection="1">
      <alignment horizontal="center"/>
      <protection locked="0"/>
    </xf>
    <xf numFmtId="9" fontId="5" fillId="0" borderId="12" xfId="0" applyNumberFormat="1" applyFont="1" applyBorder="1" applyAlignment="1" applyProtection="1">
      <alignment horizontal="center"/>
      <protection locked="0"/>
    </xf>
    <xf numFmtId="0" fontId="5" fillId="0" borderId="2" xfId="2" applyNumberFormat="1" applyFont="1" applyBorder="1" applyAlignment="1" applyProtection="1">
      <alignment horizontal="center"/>
      <protection locked="0"/>
    </xf>
    <xf numFmtId="164" fontId="5" fillId="0" borderId="1" xfId="0" applyNumberFormat="1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 vertical="center"/>
      <protection locked="0"/>
    </xf>
    <xf numFmtId="10" fontId="5" fillId="0" borderId="8" xfId="0" applyNumberFormat="1" applyFont="1" applyBorder="1" applyAlignment="1" applyProtection="1">
      <alignment horizontal="center" vertical="center"/>
      <protection locked="0"/>
    </xf>
    <xf numFmtId="164" fontId="5" fillId="0" borderId="28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>
      <alignment horizontal="center"/>
    </xf>
    <xf numFmtId="0" fontId="5" fillId="0" borderId="0" xfId="0" applyFont="1"/>
    <xf numFmtId="0" fontId="4" fillId="2" borderId="6" xfId="0" applyFont="1" applyFill="1" applyBorder="1" applyAlignment="1">
      <alignment horizontal="center" vertical="center"/>
    </xf>
    <xf numFmtId="14" fontId="6" fillId="3" borderId="7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14" fontId="6" fillId="3" borderId="8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6" fillId="3" borderId="7" xfId="0" applyFont="1" applyFill="1" applyBorder="1"/>
    <xf numFmtId="0" fontId="6" fillId="3" borderId="8" xfId="0" applyFont="1" applyFill="1" applyBorder="1"/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4" fillId="2" borderId="6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14" fontId="6" fillId="3" borderId="10" xfId="0" applyNumberFormat="1" applyFont="1" applyFill="1" applyBorder="1" applyAlignment="1">
      <alignment horizontal="center"/>
    </xf>
    <xf numFmtId="14" fontId="6" fillId="3" borderId="11" xfId="0" applyNumberFormat="1" applyFont="1" applyFill="1" applyBorder="1" applyAlignment="1">
      <alignment horizontal="center"/>
    </xf>
    <xf numFmtId="0" fontId="6" fillId="3" borderId="13" xfId="0" applyFont="1" applyFill="1" applyBorder="1"/>
    <xf numFmtId="14" fontId="6" fillId="3" borderId="12" xfId="0" applyNumberFormat="1" applyFont="1" applyFill="1" applyBorder="1" applyAlignment="1">
      <alignment horizontal="center"/>
    </xf>
    <xf numFmtId="0" fontId="6" fillId="3" borderId="12" xfId="0" applyFont="1" applyFill="1" applyBorder="1"/>
    <xf numFmtId="0" fontId="4" fillId="2" borderId="3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/>
    </xf>
    <xf numFmtId="14" fontId="6" fillId="3" borderId="5" xfId="0" applyNumberFormat="1" applyFont="1" applyFill="1" applyBorder="1" applyAlignment="1">
      <alignment horizontal="center"/>
    </xf>
    <xf numFmtId="14" fontId="6" fillId="3" borderId="22" xfId="0" applyNumberFormat="1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14" fontId="6" fillId="3" borderId="25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14" fontId="6" fillId="3" borderId="27" xfId="0" applyNumberFormat="1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7" fillId="4" borderId="10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2" fontId="7" fillId="4" borderId="7" xfId="0" applyNumberFormat="1" applyFont="1" applyFill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3" fillId="0" borderId="0" xfId="0" applyFont="1"/>
    <xf numFmtId="2" fontId="7" fillId="0" borderId="8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9" fontId="5" fillId="0" borderId="0" xfId="0" applyNumberFormat="1" applyFont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164" fontId="0" fillId="0" borderId="0" xfId="0" applyNumberFormat="1"/>
    <xf numFmtId="0" fontId="5" fillId="0" borderId="0" xfId="0" applyFont="1" applyAlignment="1" applyProtection="1">
      <alignment horizontal="center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0" fontId="5" fillId="0" borderId="30" xfId="0" applyFont="1" applyBorder="1" applyAlignment="1" applyProtection="1">
      <alignment horizontal="center"/>
      <protection locked="0"/>
    </xf>
    <xf numFmtId="0" fontId="5" fillId="0" borderId="31" xfId="0" applyFont="1" applyBorder="1" applyAlignment="1" applyProtection="1">
      <alignment horizontal="center"/>
      <protection locked="0"/>
    </xf>
    <xf numFmtId="4" fontId="5" fillId="0" borderId="21" xfId="0" applyNumberFormat="1" applyFont="1" applyBorder="1" applyAlignment="1" applyProtection="1">
      <alignment horizontal="center" vertical="center"/>
      <protection locked="0"/>
    </xf>
    <xf numFmtId="164" fontId="5" fillId="0" borderId="12" xfId="1" applyNumberFormat="1" applyFont="1" applyBorder="1" applyAlignment="1" applyProtection="1">
      <alignment horizontal="center" vertical="center"/>
      <protection locked="0"/>
    </xf>
    <xf numFmtId="164" fontId="5" fillId="0" borderId="7" xfId="1" applyNumberFormat="1" applyFont="1" applyBorder="1" applyAlignment="1" applyProtection="1">
      <alignment horizontal="center" vertical="center"/>
      <protection locked="0"/>
    </xf>
    <xf numFmtId="44" fontId="7" fillId="0" borderId="32" xfId="1" applyFont="1" applyBorder="1" applyAlignment="1" applyProtection="1">
      <alignment horizontal="center"/>
      <protection locked="0"/>
    </xf>
    <xf numFmtId="44" fontId="7" fillId="0" borderId="33" xfId="1" applyFont="1" applyBorder="1" applyAlignment="1" applyProtection="1">
      <alignment horizontal="center"/>
      <protection locked="0"/>
    </xf>
    <xf numFmtId="44" fontId="7" fillId="0" borderId="34" xfId="1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44" fontId="5" fillId="0" borderId="12" xfId="0" applyNumberFormat="1" applyFont="1" applyBorder="1" applyAlignment="1" applyProtection="1">
      <alignment horizontal="center"/>
      <protection locked="0"/>
    </xf>
    <xf numFmtId="44" fontId="5" fillId="0" borderId="12" xfId="0" applyNumberFormat="1" applyFont="1" applyBorder="1" applyAlignment="1" applyProtection="1">
      <alignment horizontal="center" vertical="center"/>
      <protection locked="0"/>
    </xf>
    <xf numFmtId="44" fontId="5" fillId="0" borderId="7" xfId="0" applyNumberFormat="1" applyFont="1" applyBorder="1" applyAlignment="1" applyProtection="1">
      <alignment horizontal="center"/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44" fontId="7" fillId="0" borderId="21" xfId="1" applyFont="1" applyBorder="1" applyAlignment="1" applyProtection="1">
      <alignment horizontal="center"/>
      <protection locked="0"/>
    </xf>
    <xf numFmtId="0" fontId="7" fillId="0" borderId="35" xfId="0" applyFont="1" applyBorder="1" applyAlignment="1" applyProtection="1">
      <alignment horizontal="center"/>
      <protection locked="0"/>
    </xf>
    <xf numFmtId="44" fontId="7" fillId="0" borderId="36" xfId="1" applyFont="1" applyBorder="1" applyAlignment="1" applyProtection="1">
      <alignment horizontal="center"/>
      <protection locked="0"/>
    </xf>
    <xf numFmtId="0" fontId="7" fillId="0" borderId="36" xfId="0" applyFont="1" applyBorder="1" applyAlignment="1" applyProtection="1">
      <alignment horizontal="center"/>
      <protection locked="0"/>
    </xf>
    <xf numFmtId="0" fontId="6" fillId="3" borderId="35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lmoxarifado\Reuni&#227;o%20de%20IC\KPI's%20almox\Gr&#225;fico%20indicadores%20Suprimentos.xlsx" TargetMode="External"/><Relationship Id="rId1" Type="http://schemas.openxmlformats.org/officeDocument/2006/relationships/externalLinkPath" Target="file:///Z:\Almoxarifado\Reuni&#227;o%20de%20IC\KPI's%20almox\Gr&#225;fico%20indicadores%20Supri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dados"/>
      <sheetName val="Estoque GeralxCorporativo"/>
      <sheetName val="Evolução Estoque"/>
      <sheetName val="Tempo"/>
      <sheetName val="Invent"/>
      <sheetName val="Invet PCP"/>
      <sheetName val="Ad Vol Prog Aci"/>
      <sheetName val="Ad Vol Prog Lam"/>
      <sheetName val="Suc % Aci"/>
      <sheetName val="Suc % LL"/>
      <sheetName val="Suc % LM"/>
      <sheetName val="Reclam"/>
      <sheetName val="Vol Suc Aci"/>
      <sheetName val="Custo Sucata Aci"/>
      <sheetName val="Vol Suc LL"/>
      <sheetName val="Custo Sucata LL"/>
      <sheetName val="Vol Sic LM"/>
      <sheetName val="Custo Sucata LM"/>
      <sheetName val="xxxx"/>
    </sheetNames>
    <sheetDataSet>
      <sheetData sheetId="0"/>
      <sheetData sheetId="1">
        <row r="11">
          <cell r="C11">
            <v>408801</v>
          </cell>
          <cell r="D11">
            <v>612600.02</v>
          </cell>
          <cell r="E11">
            <v>527003.03</v>
          </cell>
          <cell r="F11">
            <v>427404.01</v>
          </cell>
          <cell r="G11">
            <v>116605.95</v>
          </cell>
          <cell r="H11">
            <v>71406.600000000006</v>
          </cell>
          <cell r="I11">
            <v>278270.28000000003</v>
          </cell>
          <cell r="J11">
            <v>198596</v>
          </cell>
          <cell r="K11">
            <v>326694.76</v>
          </cell>
          <cell r="L11">
            <v>317638.05113899999</v>
          </cell>
          <cell r="M11">
            <v>190178.01800000001</v>
          </cell>
          <cell r="N11">
            <v>1193661.3</v>
          </cell>
        </row>
        <row r="12">
          <cell r="C12">
            <v>15310440.810000001</v>
          </cell>
          <cell r="D12">
            <v>13856284.890000001</v>
          </cell>
          <cell r="E12">
            <v>12622315.9</v>
          </cell>
          <cell r="F12">
            <v>12260430.02</v>
          </cell>
          <cell r="G12">
            <v>11312325.380000001</v>
          </cell>
          <cell r="H12">
            <v>8165881</v>
          </cell>
          <cell r="I12">
            <v>7903503.71</v>
          </cell>
          <cell r="J12">
            <v>7828723</v>
          </cell>
          <cell r="K12">
            <v>6467365</v>
          </cell>
          <cell r="L12">
            <v>5394132.1162010003</v>
          </cell>
          <cell r="M12">
            <v>5341378.17</v>
          </cell>
          <cell r="N12">
            <v>5940487.9299999997</v>
          </cell>
        </row>
        <row r="13">
          <cell r="C13">
            <v>396012</v>
          </cell>
          <cell r="D13">
            <v>355013</v>
          </cell>
          <cell r="E13">
            <v>211014</v>
          </cell>
          <cell r="F13">
            <v>318015</v>
          </cell>
          <cell r="G13">
            <v>417016</v>
          </cell>
          <cell r="H13">
            <v>403317</v>
          </cell>
          <cell r="I13">
            <v>259686.09</v>
          </cell>
          <cell r="J13">
            <v>330493</v>
          </cell>
          <cell r="K13">
            <v>218832.77</v>
          </cell>
          <cell r="L13">
            <v>493472.55597599997</v>
          </cell>
          <cell r="M13">
            <v>362894.52</v>
          </cell>
          <cell r="N13">
            <v>422441.79</v>
          </cell>
        </row>
        <row r="21">
          <cell r="C21">
            <v>33481125.18</v>
          </cell>
          <cell r="D21">
            <v>32790823.149999999</v>
          </cell>
          <cell r="E21">
            <v>32295609.309999999</v>
          </cell>
          <cell r="F21">
            <v>31532636.239999998</v>
          </cell>
          <cell r="G21">
            <v>31584364.809999999</v>
          </cell>
          <cell r="H21">
            <v>30804563.43</v>
          </cell>
          <cell r="I21">
            <v>30261923.640000001</v>
          </cell>
          <cell r="J21">
            <v>29909121.600000001</v>
          </cell>
          <cell r="K21">
            <v>31732927.419999998</v>
          </cell>
          <cell r="L21">
            <v>31810243.830710001</v>
          </cell>
          <cell r="M21">
            <v>31189005.559999999</v>
          </cell>
          <cell r="N21">
            <v>31098260.149999999</v>
          </cell>
        </row>
        <row r="23">
          <cell r="C23">
            <v>3880968.43</v>
          </cell>
          <cell r="D23">
            <v>3274896.5</v>
          </cell>
          <cell r="E23">
            <v>2077475.19</v>
          </cell>
          <cell r="F23">
            <v>2699588.71</v>
          </cell>
          <cell r="G23">
            <v>1434842.4</v>
          </cell>
          <cell r="H23">
            <v>2990945</v>
          </cell>
          <cell r="I23">
            <v>2433575.56</v>
          </cell>
          <cell r="J23">
            <v>3558840</v>
          </cell>
          <cell r="K23">
            <v>3162495</v>
          </cell>
          <cell r="L23">
            <v>5325887.807635</v>
          </cell>
          <cell r="M23">
            <v>7525935.4100000001</v>
          </cell>
          <cell r="N23">
            <v>7378341.6699999999</v>
          </cell>
        </row>
        <row r="24">
          <cell r="C24">
            <v>17156601.149999999</v>
          </cell>
          <cell r="D24">
            <v>15851702.08</v>
          </cell>
          <cell r="E24">
            <v>14676141.880000001</v>
          </cell>
          <cell r="F24">
            <v>13586200.609999999</v>
          </cell>
          <cell r="G24">
            <v>11426299.34</v>
          </cell>
          <cell r="H24">
            <v>12078727</v>
          </cell>
          <cell r="I24">
            <v>12225526.25</v>
          </cell>
          <cell r="J24">
            <v>13401617</v>
          </cell>
          <cell r="K24">
            <v>12780666.800000001</v>
          </cell>
          <cell r="L24">
            <v>12157900.196091</v>
          </cell>
          <cell r="M24">
            <v>13179146.02</v>
          </cell>
          <cell r="N24">
            <v>13588655.26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workbookViewId="0">
      <pane ySplit="1" topLeftCell="A2" activePane="bottomLeft" state="frozen"/>
      <selection activeCell="C15" sqref="C15"/>
      <selection pane="bottomLeft" activeCell="C5" sqref="C5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11.44140625" customWidth="1"/>
    <col min="4" max="4" width="15.44140625" customWidth="1"/>
  </cols>
  <sheetData>
    <row r="1" spans="1:5" ht="24" thickBot="1" x14ac:dyDescent="0.75">
      <c r="A1" s="52" t="s">
        <v>0</v>
      </c>
      <c r="B1" s="52" t="s">
        <v>1</v>
      </c>
      <c r="C1" s="52" t="s">
        <v>2</v>
      </c>
      <c r="D1" s="52" t="s">
        <v>3</v>
      </c>
    </row>
    <row r="2" spans="1:5" ht="17.399999999999999" x14ac:dyDescent="0.5">
      <c r="A2" s="57">
        <v>45658</v>
      </c>
      <c r="B2" s="58" t="s">
        <v>4</v>
      </c>
      <c r="C2" s="39">
        <f ca="1">RANDBETWEEN(200,800)</f>
        <v>404</v>
      </c>
      <c r="D2" s="39">
        <f ca="1">RANDBETWEEN(400,1200)</f>
        <v>930</v>
      </c>
    </row>
    <row r="3" spans="1:5" ht="17.399999999999999" x14ac:dyDescent="0.5">
      <c r="A3" s="43">
        <v>45689</v>
      </c>
      <c r="B3" s="48" t="s">
        <v>5</v>
      </c>
      <c r="C3" s="1">
        <f t="shared" ref="C3:C13" ca="1" si="0">RANDBETWEEN(200,800)</f>
        <v>653</v>
      </c>
      <c r="D3" s="1">
        <f t="shared" ref="D3:D13" ca="1" si="1">RANDBETWEEN(400,1200)</f>
        <v>1052</v>
      </c>
    </row>
    <row r="4" spans="1:5" ht="17.399999999999999" x14ac:dyDescent="0.5">
      <c r="A4" s="43">
        <v>45717</v>
      </c>
      <c r="B4" s="48" t="s">
        <v>6</v>
      </c>
      <c r="C4" s="1">
        <f t="shared" ca="1" si="0"/>
        <v>654</v>
      </c>
      <c r="D4" s="1">
        <f t="shared" ca="1" si="1"/>
        <v>624</v>
      </c>
    </row>
    <row r="5" spans="1:5" ht="17.399999999999999" x14ac:dyDescent="0.5">
      <c r="A5" s="43">
        <v>45748</v>
      </c>
      <c r="B5" s="48" t="s">
        <v>7</v>
      </c>
      <c r="C5" s="1">
        <f ca="1">RANDBETWEEN(200,800)</f>
        <v>726</v>
      </c>
      <c r="D5" s="1">
        <f t="shared" ca="1" si="1"/>
        <v>968</v>
      </c>
    </row>
    <row r="6" spans="1:5" ht="17.399999999999999" x14ac:dyDescent="0.5">
      <c r="A6" s="43">
        <v>45778</v>
      </c>
      <c r="B6" s="48" t="s">
        <v>8</v>
      </c>
      <c r="C6" s="1">
        <f ca="1">RANDBETWEEN(200,800)</f>
        <v>402</v>
      </c>
      <c r="D6" s="1">
        <f t="shared" ca="1" si="1"/>
        <v>1198</v>
      </c>
    </row>
    <row r="7" spans="1:5" ht="17.399999999999999" x14ac:dyDescent="0.5">
      <c r="A7" s="43">
        <v>45809</v>
      </c>
      <c r="B7" s="48" t="s">
        <v>9</v>
      </c>
      <c r="C7" s="1">
        <f t="shared" ca="1" si="0"/>
        <v>730</v>
      </c>
      <c r="D7" s="1">
        <f t="shared" ca="1" si="1"/>
        <v>993</v>
      </c>
    </row>
    <row r="8" spans="1:5" ht="17.399999999999999" x14ac:dyDescent="0.5">
      <c r="A8" s="43">
        <v>45839</v>
      </c>
      <c r="B8" s="48" t="s">
        <v>10</v>
      </c>
      <c r="C8" s="1">
        <f t="shared" ca="1" si="0"/>
        <v>245</v>
      </c>
      <c r="D8" s="1">
        <f t="shared" ca="1" si="1"/>
        <v>556</v>
      </c>
    </row>
    <row r="9" spans="1:5" ht="17.399999999999999" x14ac:dyDescent="0.5">
      <c r="A9" s="43">
        <v>45870</v>
      </c>
      <c r="B9" s="48" t="s">
        <v>11</v>
      </c>
      <c r="C9" s="1">
        <f t="shared" ca="1" si="0"/>
        <v>391</v>
      </c>
      <c r="D9" s="1">
        <f t="shared" ca="1" si="1"/>
        <v>1179</v>
      </c>
    </row>
    <row r="10" spans="1:5" ht="17.399999999999999" x14ac:dyDescent="0.5">
      <c r="A10" s="43">
        <v>45901</v>
      </c>
      <c r="B10" s="48" t="s">
        <v>12</v>
      </c>
      <c r="C10" s="1">
        <f t="shared" ca="1" si="0"/>
        <v>641</v>
      </c>
      <c r="D10" s="1">
        <f t="shared" ca="1" si="1"/>
        <v>590</v>
      </c>
      <c r="E10" s="41"/>
    </row>
    <row r="11" spans="1:5" ht="17.399999999999999" x14ac:dyDescent="0.5">
      <c r="A11" s="43">
        <v>45931</v>
      </c>
      <c r="B11" s="48" t="s">
        <v>13</v>
      </c>
      <c r="C11" s="1">
        <f t="shared" ca="1" si="0"/>
        <v>679</v>
      </c>
      <c r="D11" s="1">
        <f t="shared" ca="1" si="1"/>
        <v>814</v>
      </c>
    </row>
    <row r="12" spans="1:5" ht="17.399999999999999" x14ac:dyDescent="0.5">
      <c r="A12" s="43">
        <v>45962</v>
      </c>
      <c r="B12" s="48" t="s">
        <v>14</v>
      </c>
      <c r="C12" s="1">
        <f t="shared" ca="1" si="0"/>
        <v>575</v>
      </c>
      <c r="D12" s="1">
        <f t="shared" ca="1" si="1"/>
        <v>875</v>
      </c>
    </row>
    <row r="13" spans="1:5" ht="18" thickBot="1" x14ac:dyDescent="0.55000000000000004">
      <c r="A13" s="45">
        <v>45992</v>
      </c>
      <c r="B13" s="49" t="s">
        <v>15</v>
      </c>
      <c r="C13" s="4">
        <f t="shared" ca="1" si="0"/>
        <v>394</v>
      </c>
      <c r="D13" s="4">
        <f t="shared" ca="1" si="1"/>
        <v>914</v>
      </c>
    </row>
  </sheetData>
  <sheetProtection algorithmName="SHA-512" hashValue="oEDOvitt3fvqRMI8qUih8iGrJ0ARlvV7/sxxRrL1M2L2Dynzv38iVx8gtgkGC9GaOFMrRST1zzIglmxpweiq5g==" saltValue="LI3ccsEolmvC07QTM3N2Ig==" spinCount="100000" sheet="1" objects="1" scenarios="1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pane ySplit="1" topLeftCell="A2" activePane="bottomLeft" state="frozen"/>
      <selection activeCell="C15" sqref="C15"/>
      <selection pane="bottomLeft" activeCell="C12" sqref="C12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32.5546875" bestFit="1" customWidth="1"/>
    <col min="4" max="4" width="34.44140625" bestFit="1" customWidth="1"/>
  </cols>
  <sheetData>
    <row r="1" spans="1:5" ht="23.4" x14ac:dyDescent="0.7">
      <c r="A1" s="52" t="s">
        <v>0</v>
      </c>
      <c r="B1" s="52" t="s">
        <v>1</v>
      </c>
      <c r="C1" s="52" t="s">
        <v>16</v>
      </c>
      <c r="D1" s="52" t="s">
        <v>17</v>
      </c>
    </row>
    <row r="2" spans="1:5" ht="17.399999999999999" x14ac:dyDescent="0.5">
      <c r="A2" s="43">
        <v>45658</v>
      </c>
      <c r="B2" s="48" t="s">
        <v>4</v>
      </c>
      <c r="C2" s="1">
        <f ca="1">RANDBETWEEN(200,800)</f>
        <v>484</v>
      </c>
      <c r="D2" s="1">
        <f ca="1">RANDBETWEEN(400,1200)</f>
        <v>410</v>
      </c>
    </row>
    <row r="3" spans="1:5" ht="17.399999999999999" x14ac:dyDescent="0.5">
      <c r="A3" s="43">
        <v>45689</v>
      </c>
      <c r="B3" s="48" t="s">
        <v>5</v>
      </c>
      <c r="C3" s="1">
        <f t="shared" ref="C3:C13" ca="1" si="0">RANDBETWEEN(200,800)</f>
        <v>458</v>
      </c>
      <c r="D3" s="1">
        <f t="shared" ref="D3:D13" ca="1" si="1">RANDBETWEEN(400,1200)</f>
        <v>1194</v>
      </c>
    </row>
    <row r="4" spans="1:5" ht="17.399999999999999" x14ac:dyDescent="0.5">
      <c r="A4" s="43">
        <v>45717</v>
      </c>
      <c r="B4" s="48" t="s">
        <v>6</v>
      </c>
      <c r="C4" s="1">
        <f t="shared" ca="1" si="0"/>
        <v>588</v>
      </c>
      <c r="D4" s="1">
        <f t="shared" ca="1" si="1"/>
        <v>987</v>
      </c>
    </row>
    <row r="5" spans="1:5" ht="17.399999999999999" x14ac:dyDescent="0.5">
      <c r="A5" s="43">
        <v>45748</v>
      </c>
      <c r="B5" s="48" t="s">
        <v>7</v>
      </c>
      <c r="C5" s="1">
        <f t="shared" ca="1" si="0"/>
        <v>558</v>
      </c>
      <c r="D5" s="1">
        <f t="shared" ca="1" si="1"/>
        <v>534</v>
      </c>
    </row>
    <row r="6" spans="1:5" ht="17.399999999999999" x14ac:dyDescent="0.5">
      <c r="A6" s="43">
        <v>45778</v>
      </c>
      <c r="B6" s="48" t="s">
        <v>8</v>
      </c>
      <c r="C6" s="1">
        <f t="shared" ca="1" si="0"/>
        <v>277</v>
      </c>
      <c r="D6" s="1">
        <f t="shared" ca="1" si="1"/>
        <v>1133</v>
      </c>
    </row>
    <row r="7" spans="1:5" ht="17.399999999999999" x14ac:dyDescent="0.5">
      <c r="A7" s="43">
        <v>45809</v>
      </c>
      <c r="B7" s="48" t="s">
        <v>9</v>
      </c>
      <c r="C7" s="1">
        <f t="shared" ca="1" si="0"/>
        <v>266</v>
      </c>
      <c r="D7" s="1">
        <f t="shared" ca="1" si="1"/>
        <v>1073</v>
      </c>
    </row>
    <row r="8" spans="1:5" ht="17.399999999999999" x14ac:dyDescent="0.5">
      <c r="A8" s="43">
        <v>45839</v>
      </c>
      <c r="B8" s="48" t="s">
        <v>10</v>
      </c>
      <c r="C8" s="1">
        <f t="shared" ca="1" si="0"/>
        <v>250</v>
      </c>
      <c r="D8" s="1">
        <f t="shared" ca="1" si="1"/>
        <v>750</v>
      </c>
    </row>
    <row r="9" spans="1:5" ht="17.399999999999999" x14ac:dyDescent="0.5">
      <c r="A9" s="43">
        <v>45870</v>
      </c>
      <c r="B9" s="48" t="s">
        <v>11</v>
      </c>
      <c r="C9" s="1">
        <f t="shared" ca="1" si="0"/>
        <v>455</v>
      </c>
      <c r="D9" s="1">
        <f t="shared" ca="1" si="1"/>
        <v>894</v>
      </c>
    </row>
    <row r="10" spans="1:5" ht="17.399999999999999" x14ac:dyDescent="0.5">
      <c r="A10" s="43">
        <v>45901</v>
      </c>
      <c r="B10" s="48" t="s">
        <v>12</v>
      </c>
      <c r="C10" s="1">
        <f t="shared" ca="1" si="0"/>
        <v>389</v>
      </c>
      <c r="D10" s="1">
        <f t="shared" ca="1" si="1"/>
        <v>807</v>
      </c>
      <c r="E10" s="41"/>
    </row>
    <row r="11" spans="1:5" ht="17.399999999999999" x14ac:dyDescent="0.5">
      <c r="A11" s="43">
        <v>45931</v>
      </c>
      <c r="B11" s="48" t="s">
        <v>13</v>
      </c>
      <c r="C11" s="1">
        <f t="shared" ca="1" si="0"/>
        <v>393</v>
      </c>
      <c r="D11" s="1">
        <f t="shared" ca="1" si="1"/>
        <v>994</v>
      </c>
    </row>
    <row r="12" spans="1:5" ht="17.399999999999999" x14ac:dyDescent="0.5">
      <c r="A12" s="43">
        <v>45962</v>
      </c>
      <c r="B12" s="48" t="s">
        <v>14</v>
      </c>
      <c r="C12" s="1">
        <f t="shared" ca="1" si="0"/>
        <v>429</v>
      </c>
      <c r="D12" s="1">
        <f t="shared" ca="1" si="1"/>
        <v>959</v>
      </c>
    </row>
    <row r="13" spans="1:5" ht="18" thickBot="1" x14ac:dyDescent="0.55000000000000004">
      <c r="A13" s="45">
        <v>45992</v>
      </c>
      <c r="B13" s="49" t="s">
        <v>15</v>
      </c>
      <c r="C13" s="4">
        <f t="shared" ca="1" si="0"/>
        <v>410</v>
      </c>
      <c r="D13" s="4">
        <f t="shared" ca="1" si="1"/>
        <v>721</v>
      </c>
    </row>
  </sheetData>
  <sheetProtection algorithmName="SHA-512" hashValue="FC79jIT4LY0y71N3l7rv4Vt7UxM64MKdrAOg4KXLP+0YDt98Ko+2fWy9ocXlCnQ21r0R3pLzunLvwLpb5cYIwQ==" saltValue="ANTNs/ZoM86y0D8lALp1ow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showGridLines="0" zoomScale="90" zoomScaleNormal="90" workbookViewId="0">
      <pane ySplit="1" topLeftCell="A2" activePane="bottomLeft" state="frozen"/>
      <selection activeCell="C15" sqref="C15"/>
      <selection pane="bottomLeft" activeCell="D16" sqref="D16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32.44140625" bestFit="1" customWidth="1"/>
    <col min="4" max="4" width="34.5546875" bestFit="1" customWidth="1"/>
    <col min="5" max="5" width="16.44140625" bestFit="1" customWidth="1"/>
    <col min="6" max="6" width="17.44140625" customWidth="1"/>
    <col min="7" max="7" width="34.33203125" bestFit="1" customWidth="1"/>
    <col min="8" max="8" width="36.5546875" bestFit="1" customWidth="1"/>
    <col min="9" max="9" width="19.44140625" bestFit="1" customWidth="1"/>
    <col min="10" max="10" width="10.44140625" customWidth="1"/>
  </cols>
  <sheetData>
    <row r="1" spans="1:10" ht="24" thickBot="1" x14ac:dyDescent="0.75">
      <c r="A1" s="53" t="s">
        <v>0</v>
      </c>
      <c r="B1" s="40" t="s">
        <v>1</v>
      </c>
      <c r="C1" s="40" t="s">
        <v>18</v>
      </c>
      <c r="D1" s="40" t="s">
        <v>19</v>
      </c>
      <c r="E1" s="40" t="s">
        <v>20</v>
      </c>
      <c r="F1" s="40" t="s">
        <v>140</v>
      </c>
      <c r="G1" s="40" t="s">
        <v>21</v>
      </c>
      <c r="H1" s="40" t="s">
        <v>22</v>
      </c>
      <c r="I1" s="40" t="s">
        <v>23</v>
      </c>
      <c r="J1" s="40" t="s">
        <v>3</v>
      </c>
    </row>
    <row r="2" spans="1:10" ht="17.399999999999999" x14ac:dyDescent="0.5">
      <c r="A2" s="54">
        <v>45658</v>
      </c>
      <c r="B2" s="48" t="s">
        <v>4</v>
      </c>
      <c r="C2" s="1">
        <f ca="1">RANDBETWEEN(250,800)</f>
        <v>435</v>
      </c>
      <c r="D2" s="1">
        <f ca="1">RANDBETWEEN(1,100)</f>
        <v>32</v>
      </c>
      <c r="E2" s="1">
        <f ca="1">RANDBETWEEN(1,100)</f>
        <v>39</v>
      </c>
      <c r="F2" s="1">
        <f ca="1">RANDBETWEEN(5,50)</f>
        <v>50</v>
      </c>
      <c r="G2" s="2">
        <f ca="1">C2/J2</f>
        <v>0.85968379446640319</v>
      </c>
      <c r="H2" s="2">
        <f ca="1">D2/J2</f>
        <v>6.3241106719367585E-2</v>
      </c>
      <c r="I2" s="2">
        <f ca="1">E2/J2</f>
        <v>7.7075098814229248E-2</v>
      </c>
      <c r="J2" s="1">
        <f ca="1">SUM(C2:E2)</f>
        <v>506</v>
      </c>
    </row>
    <row r="3" spans="1:10" ht="17.399999999999999" x14ac:dyDescent="0.5">
      <c r="A3" s="54">
        <v>45689</v>
      </c>
      <c r="B3" s="48" t="s">
        <v>5</v>
      </c>
      <c r="C3" s="1">
        <f t="shared" ref="C3:C13" ca="1" si="0">RANDBETWEEN(250,800)</f>
        <v>591</v>
      </c>
      <c r="D3" s="1">
        <f t="shared" ref="D3:D13" ca="1" si="1">RANDBETWEEN(1,100)</f>
        <v>62</v>
      </c>
      <c r="E3" s="1">
        <f t="shared" ref="E3:E13" ca="1" si="2">RANDBETWEEN(1,100)</f>
        <v>74</v>
      </c>
      <c r="F3" s="1">
        <f t="shared" ref="F3:F13" ca="1" si="3">RANDBETWEEN(5,50)</f>
        <v>22</v>
      </c>
      <c r="G3" s="2">
        <f ca="1">C3/J3</f>
        <v>0.81292984869326002</v>
      </c>
      <c r="H3" s="2">
        <f ca="1">D3/J3</f>
        <v>8.528198074277854E-2</v>
      </c>
      <c r="I3" s="2">
        <f ca="1">E3/J3</f>
        <v>0.10178817056396149</v>
      </c>
      <c r="J3" s="1">
        <f t="shared" ref="J3:J13" ca="1" si="4">SUM(C3:E3)</f>
        <v>727</v>
      </c>
    </row>
    <row r="4" spans="1:10" ht="17.399999999999999" x14ac:dyDescent="0.5">
      <c r="A4" s="54">
        <v>45717</v>
      </c>
      <c r="B4" s="48" t="s">
        <v>6</v>
      </c>
      <c r="C4" s="1">
        <f t="shared" ca="1" si="0"/>
        <v>547</v>
      </c>
      <c r="D4" s="1">
        <f t="shared" ca="1" si="1"/>
        <v>21</v>
      </c>
      <c r="E4" s="1">
        <f t="shared" ca="1" si="2"/>
        <v>13</v>
      </c>
      <c r="F4" s="1">
        <f t="shared" ca="1" si="3"/>
        <v>32</v>
      </c>
      <c r="G4" s="2">
        <f ca="1">(C4/J4)</f>
        <v>0.94148020654044751</v>
      </c>
      <c r="H4" s="2">
        <f ca="1">SUM(D4/J4)</f>
        <v>3.614457831325301E-2</v>
      </c>
      <c r="I4" s="2">
        <f ca="1">SUM(E4/J4)</f>
        <v>2.2375215146299483E-2</v>
      </c>
      <c r="J4" s="1">
        <f t="shared" ca="1" si="4"/>
        <v>581</v>
      </c>
    </row>
    <row r="5" spans="1:10" ht="17.399999999999999" x14ac:dyDescent="0.5">
      <c r="A5" s="54">
        <v>45748</v>
      </c>
      <c r="B5" s="48" t="s">
        <v>7</v>
      </c>
      <c r="C5" s="1">
        <f t="shared" ca="1" si="0"/>
        <v>623</v>
      </c>
      <c r="D5" s="1">
        <f t="shared" ca="1" si="1"/>
        <v>67</v>
      </c>
      <c r="E5" s="1">
        <f t="shared" ca="1" si="2"/>
        <v>14</v>
      </c>
      <c r="F5" s="1">
        <f t="shared" ca="1" si="3"/>
        <v>47</v>
      </c>
      <c r="G5" s="2">
        <f t="shared" ref="G5:G13" ca="1" si="5">C5/J5</f>
        <v>0.88494318181818177</v>
      </c>
      <c r="H5" s="2">
        <f ca="1">D5/J5</f>
        <v>9.5170454545454544E-2</v>
      </c>
      <c r="I5" s="2">
        <f ca="1">E5/J5</f>
        <v>1.9886363636363636E-2</v>
      </c>
      <c r="J5" s="1">
        <f t="shared" ca="1" si="4"/>
        <v>704</v>
      </c>
    </row>
    <row r="6" spans="1:10" ht="17.399999999999999" x14ac:dyDescent="0.5">
      <c r="A6" s="54">
        <v>45778</v>
      </c>
      <c r="B6" s="48" t="s">
        <v>8</v>
      </c>
      <c r="C6" s="3">
        <f t="shared" ca="1" si="0"/>
        <v>787</v>
      </c>
      <c r="D6" s="1">
        <f t="shared" ca="1" si="1"/>
        <v>97</v>
      </c>
      <c r="E6" s="1">
        <f t="shared" ca="1" si="2"/>
        <v>70</v>
      </c>
      <c r="F6" s="1">
        <f t="shared" ca="1" si="3"/>
        <v>11</v>
      </c>
      <c r="G6" s="2">
        <f t="shared" ca="1" si="5"/>
        <v>0.8249475890985325</v>
      </c>
      <c r="H6" s="2">
        <f ca="1">D6/J6</f>
        <v>0.10167714884696016</v>
      </c>
      <c r="I6" s="2">
        <f ca="1">E6/J6</f>
        <v>7.337526205450734E-2</v>
      </c>
      <c r="J6" s="1">
        <f t="shared" ca="1" si="4"/>
        <v>954</v>
      </c>
    </row>
    <row r="7" spans="1:10" ht="17.399999999999999" x14ac:dyDescent="0.5">
      <c r="A7" s="54">
        <v>45809</v>
      </c>
      <c r="B7" s="48" t="s">
        <v>9</v>
      </c>
      <c r="C7" s="1">
        <f t="shared" ca="1" si="0"/>
        <v>782</v>
      </c>
      <c r="D7" s="1">
        <f t="shared" ca="1" si="1"/>
        <v>80</v>
      </c>
      <c r="E7" s="1">
        <f t="shared" ca="1" si="2"/>
        <v>58</v>
      </c>
      <c r="F7" s="1">
        <f t="shared" ca="1" si="3"/>
        <v>34</v>
      </c>
      <c r="G7" s="2">
        <f t="shared" ca="1" si="5"/>
        <v>0.85</v>
      </c>
      <c r="H7" s="2">
        <f t="shared" ref="H7:H13" ca="1" si="6">D7/J7</f>
        <v>8.6956521739130432E-2</v>
      </c>
      <c r="I7" s="2">
        <f t="shared" ref="I7:I13" ca="1" si="7">E7/J7</f>
        <v>6.3043478260869562E-2</v>
      </c>
      <c r="J7" s="1">
        <f t="shared" ca="1" si="4"/>
        <v>920</v>
      </c>
    </row>
    <row r="8" spans="1:10" ht="17.399999999999999" x14ac:dyDescent="0.5">
      <c r="A8" s="54">
        <v>45839</v>
      </c>
      <c r="B8" s="48" t="s">
        <v>10</v>
      </c>
      <c r="C8" s="1">
        <f t="shared" ca="1" si="0"/>
        <v>586</v>
      </c>
      <c r="D8" s="1">
        <f t="shared" ca="1" si="1"/>
        <v>24</v>
      </c>
      <c r="E8" s="1">
        <f t="shared" ca="1" si="2"/>
        <v>32</v>
      </c>
      <c r="F8" s="1">
        <f t="shared" ca="1" si="3"/>
        <v>20</v>
      </c>
      <c r="G8" s="2">
        <f t="shared" ca="1" si="5"/>
        <v>0.91277258566978192</v>
      </c>
      <c r="H8" s="2">
        <f t="shared" ca="1" si="6"/>
        <v>3.7383177570093455E-2</v>
      </c>
      <c r="I8" s="2">
        <f t="shared" ca="1" si="7"/>
        <v>4.9844236760124609E-2</v>
      </c>
      <c r="J8" s="1">
        <f t="shared" ca="1" si="4"/>
        <v>642</v>
      </c>
    </row>
    <row r="9" spans="1:10" ht="17.399999999999999" x14ac:dyDescent="0.5">
      <c r="A9" s="54">
        <v>45870</v>
      </c>
      <c r="B9" s="48" t="s">
        <v>11</v>
      </c>
      <c r="C9" s="1">
        <f t="shared" ca="1" si="0"/>
        <v>567</v>
      </c>
      <c r="D9" s="1">
        <f t="shared" ca="1" si="1"/>
        <v>43</v>
      </c>
      <c r="E9" s="1">
        <f t="shared" ca="1" si="2"/>
        <v>34</v>
      </c>
      <c r="F9" s="1">
        <f t="shared" ca="1" si="3"/>
        <v>32</v>
      </c>
      <c r="G9" s="2">
        <f t="shared" ca="1" si="5"/>
        <v>0.88043478260869568</v>
      </c>
      <c r="H9" s="2">
        <f t="shared" ca="1" si="6"/>
        <v>6.6770186335403728E-2</v>
      </c>
      <c r="I9" s="2">
        <f t="shared" ca="1" si="7"/>
        <v>5.2795031055900624E-2</v>
      </c>
      <c r="J9" s="1">
        <f t="shared" ca="1" si="4"/>
        <v>644</v>
      </c>
    </row>
    <row r="10" spans="1:10" ht="17.399999999999999" x14ac:dyDescent="0.5">
      <c r="A10" s="54">
        <v>45901</v>
      </c>
      <c r="B10" s="48" t="s">
        <v>12</v>
      </c>
      <c r="C10" s="1">
        <f t="shared" ca="1" si="0"/>
        <v>557</v>
      </c>
      <c r="D10" s="1">
        <f t="shared" ca="1" si="1"/>
        <v>88</v>
      </c>
      <c r="E10" s="1">
        <f t="shared" ca="1" si="2"/>
        <v>35</v>
      </c>
      <c r="F10" s="1">
        <f t="shared" ca="1" si="3"/>
        <v>48</v>
      </c>
      <c r="G10" s="2">
        <f t="shared" ca="1" si="5"/>
        <v>0.81911764705882351</v>
      </c>
      <c r="H10" s="2">
        <f t="shared" ca="1" si="6"/>
        <v>0.12941176470588237</v>
      </c>
      <c r="I10" s="2">
        <f t="shared" ca="1" si="7"/>
        <v>5.1470588235294115E-2</v>
      </c>
      <c r="J10" s="1">
        <f t="shared" ca="1" si="4"/>
        <v>680</v>
      </c>
    </row>
    <row r="11" spans="1:10" ht="17.399999999999999" x14ac:dyDescent="0.5">
      <c r="A11" s="54">
        <v>45931</v>
      </c>
      <c r="B11" s="48" t="s">
        <v>13</v>
      </c>
      <c r="C11" s="1">
        <f t="shared" ca="1" si="0"/>
        <v>668</v>
      </c>
      <c r="D11" s="1">
        <f t="shared" ca="1" si="1"/>
        <v>89</v>
      </c>
      <c r="E11" s="1">
        <f t="shared" ca="1" si="2"/>
        <v>66</v>
      </c>
      <c r="F11" s="1">
        <f t="shared" ca="1" si="3"/>
        <v>40</v>
      </c>
      <c r="G11" s="2">
        <f t="shared" ca="1" si="5"/>
        <v>0.8116646415552855</v>
      </c>
      <c r="H11" s="2">
        <f t="shared" ca="1" si="6"/>
        <v>0.10814094775212636</v>
      </c>
      <c r="I11" s="2">
        <f t="shared" ca="1" si="7"/>
        <v>8.0194410692588092E-2</v>
      </c>
      <c r="J11" s="1">
        <f t="shared" ca="1" si="4"/>
        <v>823</v>
      </c>
    </row>
    <row r="12" spans="1:10" ht="17.399999999999999" x14ac:dyDescent="0.5">
      <c r="A12" s="54">
        <v>45962</v>
      </c>
      <c r="B12" s="48" t="s">
        <v>14</v>
      </c>
      <c r="C12" s="1">
        <f t="shared" ca="1" si="0"/>
        <v>367</v>
      </c>
      <c r="D12" s="1">
        <f t="shared" ca="1" si="1"/>
        <v>20</v>
      </c>
      <c r="E12" s="1">
        <f t="shared" ca="1" si="2"/>
        <v>23</v>
      </c>
      <c r="F12" s="1">
        <f t="shared" ca="1" si="3"/>
        <v>14</v>
      </c>
      <c r="G12" s="2">
        <f t="shared" ca="1" si="5"/>
        <v>0.89512195121951221</v>
      </c>
      <c r="H12" s="2">
        <f t="shared" ca="1" si="6"/>
        <v>4.878048780487805E-2</v>
      </c>
      <c r="I12" s="2">
        <f t="shared" ca="1" si="7"/>
        <v>5.6097560975609757E-2</v>
      </c>
      <c r="J12" s="1">
        <f t="shared" ca="1" si="4"/>
        <v>410</v>
      </c>
    </row>
    <row r="13" spans="1:10" ht="18" thickBot="1" x14ac:dyDescent="0.55000000000000004">
      <c r="A13" s="55">
        <v>45992</v>
      </c>
      <c r="B13" s="49" t="s">
        <v>15</v>
      </c>
      <c r="C13" s="4">
        <f t="shared" ca="1" si="0"/>
        <v>573</v>
      </c>
      <c r="D13" s="4">
        <f t="shared" ca="1" si="1"/>
        <v>66</v>
      </c>
      <c r="E13" s="4">
        <f t="shared" ca="1" si="2"/>
        <v>60</v>
      </c>
      <c r="F13" s="4">
        <f t="shared" ca="1" si="3"/>
        <v>13</v>
      </c>
      <c r="G13" s="37">
        <f t="shared" ca="1" si="5"/>
        <v>0.81974248927038629</v>
      </c>
      <c r="H13" s="37">
        <f t="shared" ca="1" si="6"/>
        <v>9.4420600858369105E-2</v>
      </c>
      <c r="I13" s="37">
        <f t="shared" ca="1" si="7"/>
        <v>8.5836909871244635E-2</v>
      </c>
      <c r="J13" s="4">
        <f t="shared" ca="1" si="4"/>
        <v>699</v>
      </c>
    </row>
  </sheetData>
  <sheetProtection algorithmName="SHA-512" hashValue="zv1IrBxV0tIrm8yEEL1MYoJIamEt+TYsFZ/nE8WEdjhA//E/aU6vAPbe10A9z1Vp/aOaxOEdbo8KYj1AC52N7w==" saltValue="SOdCIoPG4nRqLKcswxFFYg==" spinCount="100000" sheet="1" objects="1" scenarios="1"/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showGridLines="0" workbookViewId="0">
      <pane ySplit="1" topLeftCell="A2" activePane="bottomLeft" state="frozen"/>
      <selection activeCell="C15" sqref="C15"/>
      <selection pane="bottomLeft" activeCell="F9" sqref="F9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33.44140625" bestFit="1" customWidth="1"/>
  </cols>
  <sheetData>
    <row r="1" spans="1:5" ht="24" thickBot="1" x14ac:dyDescent="0.75">
      <c r="A1" s="53" t="s">
        <v>0</v>
      </c>
      <c r="B1" s="53" t="s">
        <v>1</v>
      </c>
      <c r="C1" s="52" t="s">
        <v>24</v>
      </c>
    </row>
    <row r="2" spans="1:5" ht="17.399999999999999" x14ac:dyDescent="0.5">
      <c r="A2" s="54">
        <v>45658</v>
      </c>
      <c r="B2" s="56" t="s">
        <v>4</v>
      </c>
      <c r="C2" s="5">
        <f ca="1">RANDBETWEEN(700,1500)</f>
        <v>1171</v>
      </c>
    </row>
    <row r="3" spans="1:5" ht="17.399999999999999" x14ac:dyDescent="0.5">
      <c r="A3" s="54">
        <v>45689</v>
      </c>
      <c r="B3" s="48" t="s">
        <v>5</v>
      </c>
      <c r="C3" s="5">
        <f t="shared" ref="C3:C13" ca="1" si="0">RANDBETWEEN(700,1500)</f>
        <v>1031</v>
      </c>
    </row>
    <row r="4" spans="1:5" ht="17.399999999999999" x14ac:dyDescent="0.5">
      <c r="A4" s="54">
        <v>45717</v>
      </c>
      <c r="B4" s="48" t="s">
        <v>6</v>
      </c>
      <c r="C4" s="5">
        <f t="shared" ca="1" si="0"/>
        <v>1463</v>
      </c>
    </row>
    <row r="5" spans="1:5" ht="17.399999999999999" x14ac:dyDescent="0.5">
      <c r="A5" s="54">
        <v>45748</v>
      </c>
      <c r="B5" s="48" t="s">
        <v>7</v>
      </c>
      <c r="C5" s="5">
        <f t="shared" ca="1" si="0"/>
        <v>938</v>
      </c>
    </row>
    <row r="6" spans="1:5" ht="17.399999999999999" x14ac:dyDescent="0.5">
      <c r="A6" s="54">
        <v>45778</v>
      </c>
      <c r="B6" s="48" t="s">
        <v>8</v>
      </c>
      <c r="C6" s="5">
        <f t="shared" ca="1" si="0"/>
        <v>1395</v>
      </c>
    </row>
    <row r="7" spans="1:5" ht="17.399999999999999" x14ac:dyDescent="0.5">
      <c r="A7" s="54">
        <v>45809</v>
      </c>
      <c r="B7" s="48" t="s">
        <v>9</v>
      </c>
      <c r="C7" s="5">
        <f t="shared" ca="1" si="0"/>
        <v>849</v>
      </c>
    </row>
    <row r="8" spans="1:5" ht="17.399999999999999" x14ac:dyDescent="0.5">
      <c r="A8" s="54">
        <v>45839</v>
      </c>
      <c r="B8" s="48" t="s">
        <v>10</v>
      </c>
      <c r="C8" s="5">
        <f t="shared" ca="1" si="0"/>
        <v>798</v>
      </c>
    </row>
    <row r="9" spans="1:5" ht="17.399999999999999" x14ac:dyDescent="0.5">
      <c r="A9" s="54">
        <v>45870</v>
      </c>
      <c r="B9" s="48" t="s">
        <v>11</v>
      </c>
      <c r="C9" s="5">
        <f t="shared" ca="1" si="0"/>
        <v>1010</v>
      </c>
    </row>
    <row r="10" spans="1:5" ht="17.399999999999999" x14ac:dyDescent="0.5">
      <c r="A10" s="54">
        <v>45901</v>
      </c>
      <c r="B10" s="48" t="s">
        <v>12</v>
      </c>
      <c r="C10" s="5">
        <f t="shared" ca="1" si="0"/>
        <v>815</v>
      </c>
      <c r="E10" s="41"/>
    </row>
    <row r="11" spans="1:5" ht="17.399999999999999" x14ac:dyDescent="0.5">
      <c r="A11" s="54">
        <v>45931</v>
      </c>
      <c r="B11" s="48" t="s">
        <v>13</v>
      </c>
      <c r="C11" s="5">
        <f t="shared" ca="1" si="0"/>
        <v>1442</v>
      </c>
    </row>
    <row r="12" spans="1:5" ht="17.399999999999999" x14ac:dyDescent="0.5">
      <c r="A12" s="54">
        <v>45962</v>
      </c>
      <c r="B12" s="48" t="s">
        <v>14</v>
      </c>
      <c r="C12" s="5">
        <f t="shared" ca="1" si="0"/>
        <v>1342</v>
      </c>
    </row>
    <row r="13" spans="1:5" ht="18" thickBot="1" x14ac:dyDescent="0.55000000000000004">
      <c r="A13" s="55">
        <v>45992</v>
      </c>
      <c r="B13" s="49" t="s">
        <v>15</v>
      </c>
      <c r="C13" s="6">
        <f t="shared" ca="1" si="0"/>
        <v>1443</v>
      </c>
    </row>
  </sheetData>
  <sheetProtection algorithmName="SHA-512" hashValue="RGARC2m0vbTXKnjpHK6dMC+UACDqypJFOpPKEcy9W7wzl1BMP+kndXrfqVA2Ficm/4tcgFvt1Hr46TWtGKg7nw==" saltValue="Gzk7Nhy0UnYgWLGRSsKX0A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showGridLines="0" workbookViewId="0">
      <pane ySplit="1" topLeftCell="A2" activePane="bottomLeft" state="frozen"/>
      <selection activeCell="C15" sqref="C15"/>
      <selection pane="bottomLeft" activeCell="D2" sqref="D2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33.44140625" bestFit="1" customWidth="1"/>
    <col min="4" max="4" width="25" customWidth="1"/>
  </cols>
  <sheetData>
    <row r="1" spans="1:5" ht="23.4" x14ac:dyDescent="0.7">
      <c r="A1" s="52" t="s">
        <v>0</v>
      </c>
      <c r="B1" s="52" t="s">
        <v>1</v>
      </c>
      <c r="C1" s="52" t="s">
        <v>25</v>
      </c>
      <c r="D1" s="52" t="s">
        <v>26</v>
      </c>
    </row>
    <row r="2" spans="1:5" ht="17.399999999999999" x14ac:dyDescent="0.5">
      <c r="A2" s="43">
        <v>45658</v>
      </c>
      <c r="B2" s="48" t="s">
        <v>4</v>
      </c>
      <c r="C2" s="5">
        <f ca="1">RANDBETWEEN(250,380)</f>
        <v>373</v>
      </c>
      <c r="D2" s="5">
        <f ca="1">RANDBETWEEN(1500,2000)</f>
        <v>1677</v>
      </c>
    </row>
    <row r="3" spans="1:5" ht="17.399999999999999" x14ac:dyDescent="0.5">
      <c r="A3" s="43">
        <v>45689</v>
      </c>
      <c r="B3" s="48" t="s">
        <v>5</v>
      </c>
      <c r="C3" s="5">
        <f t="shared" ref="C3:C13" ca="1" si="0">RANDBETWEEN(250,380)</f>
        <v>301</v>
      </c>
      <c r="D3" s="5">
        <f t="shared" ref="D3:D13" ca="1" si="1">RANDBETWEEN(1500,2000)</f>
        <v>1543</v>
      </c>
    </row>
    <row r="4" spans="1:5" ht="17.399999999999999" x14ac:dyDescent="0.5">
      <c r="A4" s="43">
        <v>45717</v>
      </c>
      <c r="B4" s="48" t="s">
        <v>6</v>
      </c>
      <c r="C4" s="5">
        <f t="shared" ca="1" si="0"/>
        <v>318</v>
      </c>
      <c r="D4" s="5">
        <f t="shared" ca="1" si="1"/>
        <v>1542</v>
      </c>
    </row>
    <row r="5" spans="1:5" ht="17.399999999999999" x14ac:dyDescent="0.5">
      <c r="A5" s="43">
        <v>45748</v>
      </c>
      <c r="B5" s="48" t="s">
        <v>7</v>
      </c>
      <c r="C5" s="5">
        <f t="shared" ca="1" si="0"/>
        <v>369</v>
      </c>
      <c r="D5" s="5">
        <f t="shared" ca="1" si="1"/>
        <v>1524</v>
      </c>
    </row>
    <row r="6" spans="1:5" ht="17.399999999999999" x14ac:dyDescent="0.5">
      <c r="A6" s="43">
        <v>45778</v>
      </c>
      <c r="B6" s="48" t="s">
        <v>8</v>
      </c>
      <c r="C6" s="5">
        <f t="shared" ca="1" si="0"/>
        <v>363</v>
      </c>
      <c r="D6" s="5">
        <f t="shared" ca="1" si="1"/>
        <v>1763</v>
      </c>
    </row>
    <row r="7" spans="1:5" ht="17.399999999999999" x14ac:dyDescent="0.5">
      <c r="A7" s="43">
        <v>45809</v>
      </c>
      <c r="B7" s="48" t="s">
        <v>9</v>
      </c>
      <c r="C7" s="5">
        <f t="shared" ca="1" si="0"/>
        <v>344</v>
      </c>
      <c r="D7" s="5">
        <f t="shared" ca="1" si="1"/>
        <v>1584</v>
      </c>
    </row>
    <row r="8" spans="1:5" ht="17.399999999999999" x14ac:dyDescent="0.5">
      <c r="A8" s="43">
        <v>45839</v>
      </c>
      <c r="B8" s="48" t="s">
        <v>10</v>
      </c>
      <c r="C8" s="5">
        <f t="shared" ca="1" si="0"/>
        <v>284</v>
      </c>
      <c r="D8" s="5">
        <f t="shared" ca="1" si="1"/>
        <v>1706</v>
      </c>
    </row>
    <row r="9" spans="1:5" ht="17.399999999999999" x14ac:dyDescent="0.5">
      <c r="A9" s="43">
        <v>45870</v>
      </c>
      <c r="B9" s="48" t="s">
        <v>11</v>
      </c>
      <c r="C9" s="5">
        <f t="shared" ca="1" si="0"/>
        <v>305</v>
      </c>
      <c r="D9" s="5">
        <f t="shared" ca="1" si="1"/>
        <v>1521</v>
      </c>
    </row>
    <row r="10" spans="1:5" ht="17.399999999999999" x14ac:dyDescent="0.5">
      <c r="A10" s="43">
        <v>45901</v>
      </c>
      <c r="B10" s="48" t="s">
        <v>12</v>
      </c>
      <c r="C10" s="5">
        <f t="shared" ca="1" si="0"/>
        <v>313</v>
      </c>
      <c r="D10" s="5">
        <f t="shared" ca="1" si="1"/>
        <v>1506</v>
      </c>
      <c r="E10" s="41"/>
    </row>
    <row r="11" spans="1:5" ht="17.399999999999999" x14ac:dyDescent="0.5">
      <c r="A11" s="43">
        <v>45931</v>
      </c>
      <c r="B11" s="48" t="s">
        <v>13</v>
      </c>
      <c r="C11" s="5">
        <f t="shared" ca="1" si="0"/>
        <v>312</v>
      </c>
      <c r="D11" s="5">
        <f t="shared" ca="1" si="1"/>
        <v>1504</v>
      </c>
    </row>
    <row r="12" spans="1:5" ht="17.399999999999999" x14ac:dyDescent="0.5">
      <c r="A12" s="43">
        <v>45962</v>
      </c>
      <c r="B12" s="48" t="s">
        <v>14</v>
      </c>
      <c r="C12" s="5">
        <f t="shared" ca="1" si="0"/>
        <v>313</v>
      </c>
      <c r="D12" s="5">
        <f t="shared" ca="1" si="1"/>
        <v>1506</v>
      </c>
    </row>
    <row r="13" spans="1:5" ht="18" thickBot="1" x14ac:dyDescent="0.55000000000000004">
      <c r="A13" s="45">
        <v>45992</v>
      </c>
      <c r="B13" s="49" t="s">
        <v>15</v>
      </c>
      <c r="C13" s="6">
        <f t="shared" ca="1" si="0"/>
        <v>338</v>
      </c>
      <c r="D13" s="6">
        <f t="shared" ca="1" si="1"/>
        <v>1807</v>
      </c>
    </row>
  </sheetData>
  <sheetProtection algorithmName="SHA-512" hashValue="a+vkFLLVuKvjjqzKwXMhMKoKUTzBqyYAmETq4HLHYiBLrghsbQQ6+o32YjVMOzE0CUHtQZNknJ6RC1bllwAoGA==" saltValue="qT07NqbnOFLKlo6jCUIhj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showGridLines="0" workbookViewId="0">
      <pane ySplit="1" topLeftCell="A2" activePane="bottomLeft" state="frozen"/>
      <selection activeCell="C15" sqref="C15"/>
      <selection pane="bottomLeft" activeCell="D20" sqref="D20"/>
    </sheetView>
  </sheetViews>
  <sheetFormatPr defaultColWidth="8.44140625" defaultRowHeight="14.4" x14ac:dyDescent="0.3"/>
  <cols>
    <col min="1" max="1" width="14.5546875" bestFit="1" customWidth="1"/>
    <col min="2" max="2" width="12.44140625" bestFit="1" customWidth="1"/>
    <col min="3" max="3" width="31.5546875" bestFit="1" customWidth="1"/>
    <col min="4" max="4" width="22.44140625" bestFit="1" customWidth="1"/>
    <col min="5" max="5" width="19.5546875" customWidth="1"/>
  </cols>
  <sheetData>
    <row r="1" spans="1:5" ht="24" thickBot="1" x14ac:dyDescent="0.75">
      <c r="A1" s="52" t="s">
        <v>0</v>
      </c>
      <c r="B1" s="52" t="s">
        <v>1</v>
      </c>
      <c r="C1" s="52" t="s">
        <v>27</v>
      </c>
      <c r="D1" s="52" t="s">
        <v>28</v>
      </c>
      <c r="E1" s="52" t="s">
        <v>29</v>
      </c>
    </row>
    <row r="2" spans="1:5" ht="17.399999999999999" x14ac:dyDescent="0.5">
      <c r="A2" s="57">
        <v>45658</v>
      </c>
      <c r="B2" s="58" t="s">
        <v>4</v>
      </c>
      <c r="C2" s="7">
        <f ca="1">RANDBETWEEN(1,15)</f>
        <v>8</v>
      </c>
      <c r="D2" s="7">
        <f ca="1">RANDBETWEEN(0,C2)</f>
        <v>4</v>
      </c>
      <c r="E2" s="7">
        <f ca="1">C2-D2</f>
        <v>4</v>
      </c>
    </row>
    <row r="3" spans="1:5" ht="17.399999999999999" x14ac:dyDescent="0.5">
      <c r="A3" s="43">
        <v>45689</v>
      </c>
      <c r="B3" s="48" t="s">
        <v>5</v>
      </c>
      <c r="C3" s="5">
        <f t="shared" ref="C3:C13" ca="1" si="0">RANDBETWEEN(1,15)</f>
        <v>14</v>
      </c>
      <c r="D3" s="5">
        <f t="shared" ref="D3:D13" ca="1" si="1">RANDBETWEEN(0,C3)</f>
        <v>10</v>
      </c>
      <c r="E3" s="5">
        <f t="shared" ref="E3:E13" ca="1" si="2">C3-D3</f>
        <v>4</v>
      </c>
    </row>
    <row r="4" spans="1:5" ht="17.399999999999999" x14ac:dyDescent="0.5">
      <c r="A4" s="43">
        <v>45717</v>
      </c>
      <c r="B4" s="48" t="s">
        <v>6</v>
      </c>
      <c r="C4" s="5">
        <f t="shared" ca="1" si="0"/>
        <v>7</v>
      </c>
      <c r="D4" s="5">
        <f t="shared" ca="1" si="1"/>
        <v>4</v>
      </c>
      <c r="E4" s="5">
        <f t="shared" ca="1" si="2"/>
        <v>3</v>
      </c>
    </row>
    <row r="5" spans="1:5" ht="17.399999999999999" x14ac:dyDescent="0.5">
      <c r="A5" s="43">
        <v>45748</v>
      </c>
      <c r="B5" s="48" t="s">
        <v>7</v>
      </c>
      <c r="C5" s="5">
        <f t="shared" ca="1" si="0"/>
        <v>7</v>
      </c>
      <c r="D5" s="5">
        <f t="shared" ca="1" si="1"/>
        <v>7</v>
      </c>
      <c r="E5" s="5">
        <f t="shared" ca="1" si="2"/>
        <v>0</v>
      </c>
    </row>
    <row r="6" spans="1:5" ht="17.399999999999999" x14ac:dyDescent="0.5">
      <c r="A6" s="43">
        <v>45778</v>
      </c>
      <c r="B6" s="48" t="s">
        <v>8</v>
      </c>
      <c r="C6" s="5">
        <f t="shared" ca="1" si="0"/>
        <v>12</v>
      </c>
      <c r="D6" s="5">
        <f t="shared" ca="1" si="1"/>
        <v>9</v>
      </c>
      <c r="E6" s="5">
        <f t="shared" ca="1" si="2"/>
        <v>3</v>
      </c>
    </row>
    <row r="7" spans="1:5" ht="17.399999999999999" x14ac:dyDescent="0.5">
      <c r="A7" s="43">
        <v>45809</v>
      </c>
      <c r="B7" s="48" t="s">
        <v>9</v>
      </c>
      <c r="C7" s="5">
        <f t="shared" ca="1" si="0"/>
        <v>1</v>
      </c>
      <c r="D7" s="5">
        <f t="shared" ca="1" si="1"/>
        <v>1</v>
      </c>
      <c r="E7" s="5">
        <f t="shared" ca="1" si="2"/>
        <v>0</v>
      </c>
    </row>
    <row r="8" spans="1:5" ht="17.399999999999999" x14ac:dyDescent="0.5">
      <c r="A8" s="43">
        <v>45839</v>
      </c>
      <c r="B8" s="48" t="s">
        <v>10</v>
      </c>
      <c r="C8" s="5">
        <f t="shared" ca="1" si="0"/>
        <v>1</v>
      </c>
      <c r="D8" s="5">
        <f t="shared" ca="1" si="1"/>
        <v>1</v>
      </c>
      <c r="E8" s="5">
        <f t="shared" ca="1" si="2"/>
        <v>0</v>
      </c>
    </row>
    <row r="9" spans="1:5" ht="17.399999999999999" x14ac:dyDescent="0.5">
      <c r="A9" s="43">
        <v>45870</v>
      </c>
      <c r="B9" s="48" t="s">
        <v>11</v>
      </c>
      <c r="C9" s="5">
        <f t="shared" ca="1" si="0"/>
        <v>12</v>
      </c>
      <c r="D9" s="5">
        <f t="shared" ca="1" si="1"/>
        <v>5</v>
      </c>
      <c r="E9" s="5">
        <f t="shared" ca="1" si="2"/>
        <v>7</v>
      </c>
    </row>
    <row r="10" spans="1:5" ht="17.399999999999999" x14ac:dyDescent="0.5">
      <c r="A10" s="43">
        <v>45901</v>
      </c>
      <c r="B10" s="48" t="s">
        <v>12</v>
      </c>
      <c r="C10" s="5">
        <f t="shared" ca="1" si="0"/>
        <v>11</v>
      </c>
      <c r="D10" s="5">
        <f t="shared" ca="1" si="1"/>
        <v>6</v>
      </c>
      <c r="E10" s="5">
        <f t="shared" ca="1" si="2"/>
        <v>5</v>
      </c>
    </row>
    <row r="11" spans="1:5" ht="17.399999999999999" x14ac:dyDescent="0.5">
      <c r="A11" s="43">
        <v>45931</v>
      </c>
      <c r="B11" s="48" t="s">
        <v>13</v>
      </c>
      <c r="C11" s="5">
        <f t="shared" ca="1" si="0"/>
        <v>6</v>
      </c>
      <c r="D11" s="5">
        <f t="shared" ca="1" si="1"/>
        <v>0</v>
      </c>
      <c r="E11" s="5">
        <f t="shared" ca="1" si="2"/>
        <v>6</v>
      </c>
    </row>
    <row r="12" spans="1:5" ht="17.399999999999999" x14ac:dyDescent="0.5">
      <c r="A12" s="43">
        <v>45962</v>
      </c>
      <c r="B12" s="48" t="s">
        <v>14</v>
      </c>
      <c r="C12" s="5">
        <f t="shared" ca="1" si="0"/>
        <v>10</v>
      </c>
      <c r="D12" s="5">
        <f t="shared" ca="1" si="1"/>
        <v>9</v>
      </c>
      <c r="E12" s="5">
        <f t="shared" ca="1" si="2"/>
        <v>1</v>
      </c>
    </row>
    <row r="13" spans="1:5" ht="18" thickBot="1" x14ac:dyDescent="0.55000000000000004">
      <c r="A13" s="45">
        <v>45992</v>
      </c>
      <c r="B13" s="49" t="s">
        <v>15</v>
      </c>
      <c r="C13" s="6">
        <f t="shared" ca="1" si="0"/>
        <v>8</v>
      </c>
      <c r="D13" s="6">
        <f t="shared" ca="1" si="1"/>
        <v>7</v>
      </c>
      <c r="E13" s="6">
        <f t="shared" ca="1" si="2"/>
        <v>1</v>
      </c>
    </row>
  </sheetData>
  <sheetProtection algorithmName="SHA-512" hashValue="JV3wxpeBxyfarH5iklVHPhb0nn/BbBnLT3EESw0D2uILY1m8AGnsOSZFUkIzkS89vRxH2DqtgakYwo4FzOwLYg==" saltValue="HvPcrR5aiuk9N2KeJ4MLj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showGridLines="0" topLeftCell="F1" workbookViewId="0">
      <pane ySplit="1" topLeftCell="A2" activePane="bottomLeft" state="frozen"/>
      <selection activeCell="C15" sqref="C15"/>
      <selection pane="bottomLeft" activeCell="I2" sqref="I2:K11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19.5546875" bestFit="1" customWidth="1"/>
    <col min="4" max="4" width="21.44140625" bestFit="1" customWidth="1"/>
    <col min="5" max="5" width="27.44140625" customWidth="1"/>
    <col min="6" max="6" width="21.5546875" customWidth="1"/>
    <col min="7" max="7" width="19.5546875" customWidth="1"/>
    <col min="8" max="8" width="1.5546875" customWidth="1"/>
    <col min="9" max="9" width="49.5546875" customWidth="1"/>
    <col min="10" max="10" width="19.5546875" customWidth="1"/>
    <col min="11" max="11" width="36.5546875" bestFit="1" customWidth="1"/>
    <col min="12" max="12" width="26.44140625" customWidth="1"/>
  </cols>
  <sheetData>
    <row r="1" spans="1:12" ht="39" customHeight="1" thickBot="1" x14ac:dyDescent="0.55000000000000004">
      <c r="A1" s="42" t="s">
        <v>0</v>
      </c>
      <c r="B1" s="42" t="s">
        <v>1</v>
      </c>
      <c r="C1" s="42" t="s">
        <v>30</v>
      </c>
      <c r="D1" s="42" t="s">
        <v>31</v>
      </c>
      <c r="E1" s="47" t="s">
        <v>32</v>
      </c>
      <c r="F1" s="47" t="s">
        <v>33</v>
      </c>
      <c r="G1" s="42" t="s">
        <v>34</v>
      </c>
      <c r="H1" s="41"/>
      <c r="I1" s="42" t="s">
        <v>35</v>
      </c>
      <c r="J1" s="42" t="s">
        <v>36</v>
      </c>
      <c r="K1" s="42" t="s">
        <v>37</v>
      </c>
      <c r="L1" s="42" t="s">
        <v>38</v>
      </c>
    </row>
    <row r="2" spans="1:12" ht="17.399999999999999" x14ac:dyDescent="0.5">
      <c r="A2" s="43">
        <v>45658</v>
      </c>
      <c r="B2" s="48" t="s">
        <v>4</v>
      </c>
      <c r="C2" s="8">
        <f ca="1">RANDBETWEEN(80000,300000)</f>
        <v>126318</v>
      </c>
      <c r="D2" s="8">
        <f ca="1">RANDBETWEEN(10000,100000)</f>
        <v>57409</v>
      </c>
      <c r="E2" s="8">
        <f ca="1">RANDBETWEEN(0,D2)</f>
        <v>43725</v>
      </c>
      <c r="F2" s="8">
        <f ca="1">D2-E2</f>
        <v>13684</v>
      </c>
      <c r="G2" s="8">
        <f ca="1">SUM(C2:D2)</f>
        <v>183727</v>
      </c>
      <c r="H2" s="41"/>
      <c r="I2" s="39" t="s">
        <v>141</v>
      </c>
      <c r="J2" s="36">
        <v>120000</v>
      </c>
      <c r="K2" s="39" t="s">
        <v>147</v>
      </c>
      <c r="L2" s="39" t="s">
        <v>144</v>
      </c>
    </row>
    <row r="3" spans="1:12" ht="17.399999999999999" x14ac:dyDescent="0.5">
      <c r="A3" s="43">
        <v>45689</v>
      </c>
      <c r="B3" s="48" t="s">
        <v>5</v>
      </c>
      <c r="C3" s="8">
        <f t="shared" ref="C3:C13" ca="1" si="0">RANDBETWEEN(80000,300000)</f>
        <v>125136</v>
      </c>
      <c r="D3" s="8">
        <f t="shared" ref="D3:D13" ca="1" si="1">RANDBETWEEN(10000,100000)</f>
        <v>19591</v>
      </c>
      <c r="E3" s="8">
        <f t="shared" ref="E3:E13" ca="1" si="2">RANDBETWEEN(0,D3)</f>
        <v>12663</v>
      </c>
      <c r="F3" s="8">
        <f t="shared" ref="F3:F13" ca="1" si="3">D3-E3</f>
        <v>6928</v>
      </c>
      <c r="G3" s="8">
        <f t="shared" ref="G3:G13" ca="1" si="4">SUM(C3:D3)</f>
        <v>144727</v>
      </c>
      <c r="H3" s="41"/>
      <c r="I3" s="1" t="s">
        <v>142</v>
      </c>
      <c r="J3" s="8">
        <v>850000</v>
      </c>
      <c r="K3" s="1" t="s">
        <v>148</v>
      </c>
      <c r="L3" s="1" t="s">
        <v>145</v>
      </c>
    </row>
    <row r="4" spans="1:12" ht="17.399999999999999" x14ac:dyDescent="0.5">
      <c r="A4" s="43">
        <v>45717</v>
      </c>
      <c r="B4" s="48" t="s">
        <v>6</v>
      </c>
      <c r="C4" s="8">
        <f t="shared" ca="1" si="0"/>
        <v>92550</v>
      </c>
      <c r="D4" s="8">
        <f t="shared" ca="1" si="1"/>
        <v>15840</v>
      </c>
      <c r="E4" s="8">
        <f t="shared" ca="1" si="2"/>
        <v>4917</v>
      </c>
      <c r="F4" s="8">
        <f t="shared" ca="1" si="3"/>
        <v>10923</v>
      </c>
      <c r="G4" s="8">
        <f t="shared" ca="1" si="4"/>
        <v>108390</v>
      </c>
      <c r="H4" s="41"/>
      <c r="I4" s="1" t="s">
        <v>143</v>
      </c>
      <c r="J4" s="8">
        <v>30000</v>
      </c>
      <c r="K4" s="1" t="s">
        <v>149</v>
      </c>
      <c r="L4" s="1" t="s">
        <v>146</v>
      </c>
    </row>
    <row r="5" spans="1:12" ht="17.399999999999999" x14ac:dyDescent="0.5">
      <c r="A5" s="43">
        <v>45748</v>
      </c>
      <c r="B5" s="48" t="s">
        <v>7</v>
      </c>
      <c r="C5" s="8">
        <f t="shared" ca="1" si="0"/>
        <v>279797</v>
      </c>
      <c r="D5" s="8">
        <f t="shared" ca="1" si="1"/>
        <v>74056</v>
      </c>
      <c r="E5" s="8">
        <f t="shared" ca="1" si="2"/>
        <v>25625</v>
      </c>
      <c r="F5" s="8">
        <f t="shared" ca="1" si="3"/>
        <v>48431</v>
      </c>
      <c r="G5" s="8">
        <f t="shared" ca="1" si="4"/>
        <v>353853</v>
      </c>
      <c r="H5" s="41"/>
      <c r="I5" s="1" t="s">
        <v>152</v>
      </c>
      <c r="J5" s="8">
        <v>50000</v>
      </c>
      <c r="K5" s="1" t="s">
        <v>150</v>
      </c>
      <c r="L5" s="1" t="s">
        <v>154</v>
      </c>
    </row>
    <row r="6" spans="1:12" ht="17.399999999999999" x14ac:dyDescent="0.5">
      <c r="A6" s="43">
        <v>45778</v>
      </c>
      <c r="B6" s="48" t="s">
        <v>8</v>
      </c>
      <c r="C6" s="8">
        <f t="shared" ca="1" si="0"/>
        <v>275548</v>
      </c>
      <c r="D6" s="8">
        <f t="shared" ca="1" si="1"/>
        <v>46688</v>
      </c>
      <c r="E6" s="8">
        <f t="shared" ca="1" si="2"/>
        <v>6831</v>
      </c>
      <c r="F6" s="8">
        <f t="shared" ca="1" si="3"/>
        <v>39857</v>
      </c>
      <c r="G6" s="8">
        <f t="shared" ca="1" si="4"/>
        <v>322236</v>
      </c>
      <c r="H6" s="41"/>
      <c r="I6" s="1" t="s">
        <v>153</v>
      </c>
      <c r="J6" s="8">
        <v>35000</v>
      </c>
      <c r="K6" s="1" t="s">
        <v>151</v>
      </c>
      <c r="L6" s="1" t="s">
        <v>155</v>
      </c>
    </row>
    <row r="7" spans="1:12" ht="17.399999999999999" x14ac:dyDescent="0.5">
      <c r="A7" s="43">
        <v>45809</v>
      </c>
      <c r="B7" s="48" t="s">
        <v>9</v>
      </c>
      <c r="C7" s="8">
        <f t="shared" ca="1" si="0"/>
        <v>258215</v>
      </c>
      <c r="D7" s="8">
        <f t="shared" ca="1" si="1"/>
        <v>72703</v>
      </c>
      <c r="E7" s="8">
        <f t="shared" ca="1" si="2"/>
        <v>9539</v>
      </c>
      <c r="F7" s="8">
        <f t="shared" ca="1" si="3"/>
        <v>63164</v>
      </c>
      <c r="G7" s="8">
        <f t="shared" ca="1" si="4"/>
        <v>330918</v>
      </c>
      <c r="H7" s="41"/>
      <c r="I7" s="1" t="s">
        <v>166</v>
      </c>
      <c r="J7" s="8">
        <v>500000</v>
      </c>
      <c r="K7" s="1" t="s">
        <v>156</v>
      </c>
      <c r="L7" s="1" t="s">
        <v>161</v>
      </c>
    </row>
    <row r="8" spans="1:12" ht="17.399999999999999" x14ac:dyDescent="0.5">
      <c r="A8" s="43">
        <v>45839</v>
      </c>
      <c r="B8" s="48" t="s">
        <v>10</v>
      </c>
      <c r="C8" s="8">
        <f t="shared" ca="1" si="0"/>
        <v>230466</v>
      </c>
      <c r="D8" s="8">
        <f t="shared" ca="1" si="1"/>
        <v>36492</v>
      </c>
      <c r="E8" s="8">
        <f t="shared" ca="1" si="2"/>
        <v>4358</v>
      </c>
      <c r="F8" s="8">
        <f t="shared" ca="1" si="3"/>
        <v>32134</v>
      </c>
      <c r="G8" s="8">
        <f t="shared" ca="1" si="4"/>
        <v>266958</v>
      </c>
      <c r="H8" s="41"/>
      <c r="I8" s="1" t="s">
        <v>167</v>
      </c>
      <c r="J8" s="8">
        <v>10000</v>
      </c>
      <c r="K8" s="1" t="s">
        <v>157</v>
      </c>
      <c r="L8" s="1" t="s">
        <v>162</v>
      </c>
    </row>
    <row r="9" spans="1:12" ht="17.399999999999999" x14ac:dyDescent="0.5">
      <c r="A9" s="43">
        <v>45870</v>
      </c>
      <c r="B9" s="48" t="s">
        <v>11</v>
      </c>
      <c r="C9" s="8">
        <f t="shared" ca="1" si="0"/>
        <v>282055</v>
      </c>
      <c r="D9" s="8">
        <f t="shared" ca="1" si="1"/>
        <v>88463</v>
      </c>
      <c r="E9" s="8">
        <f t="shared" ca="1" si="2"/>
        <v>78716</v>
      </c>
      <c r="F9" s="8">
        <f t="shared" ca="1" si="3"/>
        <v>9747</v>
      </c>
      <c r="G9" s="8">
        <f t="shared" ca="1" si="4"/>
        <v>370518</v>
      </c>
      <c r="H9" s="41"/>
      <c r="I9" s="1" t="s">
        <v>168</v>
      </c>
      <c r="J9" s="8">
        <v>12500</v>
      </c>
      <c r="K9" s="1" t="s">
        <v>158</v>
      </c>
      <c r="L9" s="1" t="s">
        <v>163</v>
      </c>
    </row>
    <row r="10" spans="1:12" ht="17.399999999999999" x14ac:dyDescent="0.5">
      <c r="A10" s="43">
        <v>45901</v>
      </c>
      <c r="B10" s="48" t="s">
        <v>12</v>
      </c>
      <c r="C10" s="8">
        <f t="shared" ca="1" si="0"/>
        <v>238564</v>
      </c>
      <c r="D10" s="8">
        <f t="shared" ca="1" si="1"/>
        <v>18283</v>
      </c>
      <c r="E10" s="8">
        <f t="shared" ca="1" si="2"/>
        <v>7904</v>
      </c>
      <c r="F10" s="8">
        <f t="shared" ca="1" si="3"/>
        <v>10379</v>
      </c>
      <c r="G10" s="8">
        <f t="shared" ca="1" si="4"/>
        <v>256847</v>
      </c>
      <c r="H10" s="41"/>
      <c r="I10" s="1" t="s">
        <v>169</v>
      </c>
      <c r="J10" s="8">
        <v>35000</v>
      </c>
      <c r="K10" s="1" t="s">
        <v>159</v>
      </c>
      <c r="L10" s="1" t="s">
        <v>164</v>
      </c>
    </row>
    <row r="11" spans="1:12" ht="17.399999999999999" x14ac:dyDescent="0.5">
      <c r="A11" s="43">
        <v>45931</v>
      </c>
      <c r="B11" s="48" t="s">
        <v>13</v>
      </c>
      <c r="C11" s="8">
        <f t="shared" ca="1" si="0"/>
        <v>270936</v>
      </c>
      <c r="D11" s="8">
        <f t="shared" ca="1" si="1"/>
        <v>49851</v>
      </c>
      <c r="E11" s="8">
        <f t="shared" ca="1" si="2"/>
        <v>22691</v>
      </c>
      <c r="F11" s="8">
        <f t="shared" ca="1" si="3"/>
        <v>27160</v>
      </c>
      <c r="G11" s="8">
        <f t="shared" ca="1" si="4"/>
        <v>320787</v>
      </c>
      <c r="H11" s="41"/>
      <c r="I11" s="1" t="s">
        <v>170</v>
      </c>
      <c r="J11" s="8">
        <v>8500</v>
      </c>
      <c r="K11" s="1" t="s">
        <v>160</v>
      </c>
      <c r="L11" s="1" t="s">
        <v>165</v>
      </c>
    </row>
    <row r="12" spans="1:12" ht="17.399999999999999" x14ac:dyDescent="0.5">
      <c r="A12" s="43">
        <v>45962</v>
      </c>
      <c r="B12" s="48" t="s">
        <v>14</v>
      </c>
      <c r="C12" s="8">
        <f t="shared" ca="1" si="0"/>
        <v>230149</v>
      </c>
      <c r="D12" s="8">
        <f t="shared" ca="1" si="1"/>
        <v>29215</v>
      </c>
      <c r="E12" s="8">
        <f t="shared" ca="1" si="2"/>
        <v>6320</v>
      </c>
      <c r="F12" s="8">
        <f t="shared" ca="1" si="3"/>
        <v>22895</v>
      </c>
      <c r="G12" s="8">
        <f t="shared" ca="1" si="4"/>
        <v>259364</v>
      </c>
      <c r="H12" s="41"/>
      <c r="I12" s="50"/>
      <c r="J12" s="50"/>
      <c r="K12" s="50"/>
      <c r="L12" s="50"/>
    </row>
    <row r="13" spans="1:12" ht="18" thickBot="1" x14ac:dyDescent="0.55000000000000004">
      <c r="A13" s="45">
        <v>45992</v>
      </c>
      <c r="B13" s="49" t="s">
        <v>15</v>
      </c>
      <c r="C13" s="9">
        <f t="shared" ca="1" si="0"/>
        <v>108467</v>
      </c>
      <c r="D13" s="9">
        <f t="shared" ca="1" si="1"/>
        <v>74839</v>
      </c>
      <c r="E13" s="9">
        <f t="shared" ca="1" si="2"/>
        <v>4408</v>
      </c>
      <c r="F13" s="9">
        <f t="shared" ca="1" si="3"/>
        <v>70431</v>
      </c>
      <c r="G13" s="9">
        <f t="shared" ca="1" si="4"/>
        <v>183306</v>
      </c>
      <c r="H13" s="41"/>
      <c r="I13" s="51"/>
      <c r="J13" s="51"/>
      <c r="K13" s="51"/>
      <c r="L13" s="51"/>
    </row>
  </sheetData>
  <sheetProtection algorithmName="SHA-512" hashValue="mKHAnponAX1IzzfsRdiuQd7lFxD9ePL6QeORZBboPXl3oi7jp9mbaxaMyOwKowhXkRU6eY1rwxXVP2kp3GQAWQ==" saltValue="vTX9eVmPG4x2RPjlFZfMvw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showGridLines="0" topLeftCell="B1" workbookViewId="0">
      <pane ySplit="1" topLeftCell="A2" activePane="bottomLeft" state="frozen"/>
      <selection activeCell="C15" sqref="C15"/>
      <selection pane="bottomLeft" activeCell="H2" sqref="H2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27" customWidth="1"/>
    <col min="4" max="4" width="24.44140625" customWidth="1"/>
    <col min="5" max="5" width="23.44140625" customWidth="1"/>
    <col min="7" max="7" width="38" customWidth="1"/>
    <col min="8" max="8" width="15.44140625" customWidth="1"/>
    <col min="9" max="9" width="44.5546875" customWidth="1"/>
  </cols>
  <sheetData>
    <row r="1" spans="1:9" ht="47.4" thickBot="1" x14ac:dyDescent="0.55000000000000004">
      <c r="A1" s="59" t="s">
        <v>0</v>
      </c>
      <c r="B1" s="42" t="s">
        <v>1</v>
      </c>
      <c r="C1" s="47" t="s">
        <v>39</v>
      </c>
      <c r="D1" s="47" t="s">
        <v>40</v>
      </c>
      <c r="E1" s="42" t="s">
        <v>34</v>
      </c>
      <c r="F1" s="41"/>
      <c r="G1" s="42" t="s">
        <v>35</v>
      </c>
      <c r="H1" s="42" t="s">
        <v>36</v>
      </c>
      <c r="I1" s="42" t="s">
        <v>37</v>
      </c>
    </row>
    <row r="2" spans="1:9" ht="17.399999999999999" x14ac:dyDescent="0.5">
      <c r="A2" s="60">
        <v>45658</v>
      </c>
      <c r="B2" s="44" t="s">
        <v>4</v>
      </c>
      <c r="C2" s="10">
        <f ca="1">RANDBETWEEN(10000,60000)</f>
        <v>26883</v>
      </c>
      <c r="D2" s="10">
        <f ca="1">RANDBETWEEN(10000,60000)</f>
        <v>51574</v>
      </c>
      <c r="E2" s="10">
        <f t="shared" ref="E2:E13" ca="1" si="0">C2+D2</f>
        <v>78457</v>
      </c>
      <c r="F2" s="41"/>
      <c r="G2" s="7" t="s">
        <v>141</v>
      </c>
      <c r="H2" s="32">
        <v>120000</v>
      </c>
      <c r="I2" s="7" t="s">
        <v>147</v>
      </c>
    </row>
    <row r="3" spans="1:9" ht="17.399999999999999" x14ac:dyDescent="0.5">
      <c r="A3" s="60">
        <v>45689</v>
      </c>
      <c r="B3" s="44" t="s">
        <v>5</v>
      </c>
      <c r="C3" s="10">
        <f t="shared" ref="C3:D13" ca="1" si="1">RANDBETWEEN(10000,60000)</f>
        <v>22973</v>
      </c>
      <c r="D3" s="10">
        <f t="shared" ca="1" si="1"/>
        <v>46878</v>
      </c>
      <c r="E3" s="10">
        <f t="shared" ca="1" si="0"/>
        <v>69851</v>
      </c>
      <c r="F3" s="41"/>
      <c r="G3" s="5" t="s">
        <v>142</v>
      </c>
      <c r="H3" s="10">
        <v>280000</v>
      </c>
      <c r="I3" s="5" t="s">
        <v>148</v>
      </c>
    </row>
    <row r="4" spans="1:9" ht="17.399999999999999" x14ac:dyDescent="0.5">
      <c r="A4" s="60">
        <v>45717</v>
      </c>
      <c r="B4" s="44" t="s">
        <v>6</v>
      </c>
      <c r="C4" s="10">
        <f ca="1">RANDBETWEEN(10000,60000)</f>
        <v>42556</v>
      </c>
      <c r="D4" s="10">
        <f t="shared" ca="1" si="1"/>
        <v>50568</v>
      </c>
      <c r="E4" s="10">
        <f t="shared" ca="1" si="0"/>
        <v>93124</v>
      </c>
      <c r="F4" s="41"/>
      <c r="G4" s="5" t="s">
        <v>143</v>
      </c>
      <c r="H4" s="10">
        <v>30000</v>
      </c>
      <c r="I4" s="5" t="s">
        <v>149</v>
      </c>
    </row>
    <row r="5" spans="1:9" ht="17.399999999999999" x14ac:dyDescent="0.5">
      <c r="A5" s="60">
        <v>45748</v>
      </c>
      <c r="B5" s="44" t="s">
        <v>7</v>
      </c>
      <c r="C5" s="10">
        <f t="shared" ca="1" si="1"/>
        <v>31243</v>
      </c>
      <c r="D5" s="10">
        <f t="shared" ca="1" si="1"/>
        <v>54316</v>
      </c>
      <c r="E5" s="10">
        <f t="shared" ca="1" si="0"/>
        <v>85559</v>
      </c>
      <c r="F5" s="41"/>
      <c r="G5" s="5" t="s">
        <v>152</v>
      </c>
      <c r="H5" s="10">
        <v>50000</v>
      </c>
      <c r="I5" s="5" t="s">
        <v>150</v>
      </c>
    </row>
    <row r="6" spans="1:9" ht="17.399999999999999" x14ac:dyDescent="0.5">
      <c r="A6" s="60">
        <v>45778</v>
      </c>
      <c r="B6" s="44" t="s">
        <v>8</v>
      </c>
      <c r="C6" s="10">
        <f t="shared" ca="1" si="1"/>
        <v>29269</v>
      </c>
      <c r="D6" s="10">
        <f t="shared" ca="1" si="1"/>
        <v>12017</v>
      </c>
      <c r="E6" s="10">
        <f t="shared" ca="1" si="0"/>
        <v>41286</v>
      </c>
      <c r="F6" s="41"/>
      <c r="G6" s="5" t="s">
        <v>153</v>
      </c>
      <c r="H6" s="10">
        <v>35000</v>
      </c>
      <c r="I6" s="5" t="s">
        <v>151</v>
      </c>
    </row>
    <row r="7" spans="1:9" ht="17.399999999999999" x14ac:dyDescent="0.5">
      <c r="A7" s="60">
        <v>45809</v>
      </c>
      <c r="B7" s="44" t="s">
        <v>9</v>
      </c>
      <c r="C7" s="10">
        <f t="shared" ca="1" si="1"/>
        <v>48999</v>
      </c>
      <c r="D7" s="10">
        <f t="shared" ca="1" si="1"/>
        <v>14976</v>
      </c>
      <c r="E7" s="10">
        <f t="shared" ca="1" si="0"/>
        <v>63975</v>
      </c>
      <c r="F7" s="41"/>
      <c r="G7" s="5" t="s">
        <v>166</v>
      </c>
      <c r="H7" s="10">
        <v>80000</v>
      </c>
      <c r="I7" s="5" t="s">
        <v>156</v>
      </c>
    </row>
    <row r="8" spans="1:9" ht="17.399999999999999" x14ac:dyDescent="0.5">
      <c r="A8" s="60">
        <v>45839</v>
      </c>
      <c r="B8" s="44" t="s">
        <v>10</v>
      </c>
      <c r="C8" s="10">
        <f t="shared" ca="1" si="1"/>
        <v>39413</v>
      </c>
      <c r="D8" s="10">
        <f t="shared" ca="1" si="1"/>
        <v>12893</v>
      </c>
      <c r="E8" s="10">
        <f t="shared" ca="1" si="0"/>
        <v>52306</v>
      </c>
      <c r="F8" s="41"/>
      <c r="G8" s="5" t="s">
        <v>167</v>
      </c>
      <c r="H8" s="10">
        <v>40000</v>
      </c>
      <c r="I8" s="5" t="s">
        <v>157</v>
      </c>
    </row>
    <row r="9" spans="1:9" ht="17.399999999999999" x14ac:dyDescent="0.5">
      <c r="A9" s="60">
        <v>45870</v>
      </c>
      <c r="B9" s="44" t="s">
        <v>11</v>
      </c>
      <c r="C9" s="10">
        <f t="shared" ca="1" si="1"/>
        <v>22493</v>
      </c>
      <c r="D9" s="10">
        <f t="shared" ca="1" si="1"/>
        <v>33807</v>
      </c>
      <c r="E9" s="10">
        <f t="shared" ca="1" si="0"/>
        <v>56300</v>
      </c>
      <c r="F9" s="41"/>
      <c r="G9" s="5" t="s">
        <v>168</v>
      </c>
      <c r="H9" s="10">
        <v>35000</v>
      </c>
      <c r="I9" s="5" t="s">
        <v>158</v>
      </c>
    </row>
    <row r="10" spans="1:9" ht="17.399999999999999" x14ac:dyDescent="0.5">
      <c r="A10" s="60">
        <v>45901</v>
      </c>
      <c r="B10" s="44" t="s">
        <v>12</v>
      </c>
      <c r="C10" s="10">
        <f t="shared" ca="1" si="1"/>
        <v>45466</v>
      </c>
      <c r="D10" s="10">
        <f t="shared" ca="1" si="1"/>
        <v>54459</v>
      </c>
      <c r="E10" s="10">
        <f t="shared" ca="1" si="0"/>
        <v>99925</v>
      </c>
      <c r="F10" s="41"/>
      <c r="G10" s="5" t="s">
        <v>169</v>
      </c>
      <c r="H10" s="10">
        <v>35000</v>
      </c>
      <c r="I10" s="5" t="s">
        <v>159</v>
      </c>
    </row>
    <row r="11" spans="1:9" ht="17.399999999999999" x14ac:dyDescent="0.5">
      <c r="A11" s="60">
        <v>45931</v>
      </c>
      <c r="B11" s="44" t="s">
        <v>13</v>
      </c>
      <c r="C11" s="10">
        <f t="shared" ca="1" si="1"/>
        <v>22596</v>
      </c>
      <c r="D11" s="10">
        <f t="shared" ca="1" si="1"/>
        <v>21634</v>
      </c>
      <c r="E11" s="10">
        <f t="shared" ca="1" si="0"/>
        <v>44230</v>
      </c>
      <c r="F11" s="41"/>
      <c r="G11" s="5" t="s">
        <v>170</v>
      </c>
      <c r="H11" s="10">
        <v>8500</v>
      </c>
      <c r="I11" s="5" t="s">
        <v>160</v>
      </c>
    </row>
    <row r="12" spans="1:9" ht="17.399999999999999" x14ac:dyDescent="0.5">
      <c r="A12" s="60">
        <v>45962</v>
      </c>
      <c r="B12" s="44" t="s">
        <v>14</v>
      </c>
      <c r="C12" s="10">
        <f t="shared" ca="1" si="1"/>
        <v>43676</v>
      </c>
      <c r="D12" s="10">
        <f t="shared" ca="1" si="1"/>
        <v>40676</v>
      </c>
      <c r="E12" s="10">
        <f t="shared" ca="1" si="0"/>
        <v>84352</v>
      </c>
      <c r="F12" s="41"/>
      <c r="G12" s="5"/>
      <c r="H12" s="10"/>
      <c r="I12" s="5"/>
    </row>
    <row r="13" spans="1:9" ht="18" thickBot="1" x14ac:dyDescent="0.55000000000000004">
      <c r="A13" s="61">
        <v>45992</v>
      </c>
      <c r="B13" s="46" t="s">
        <v>15</v>
      </c>
      <c r="C13" s="11">
        <f t="shared" ca="1" si="1"/>
        <v>22968</v>
      </c>
      <c r="D13" s="11">
        <f t="shared" ca="1" si="1"/>
        <v>41166</v>
      </c>
      <c r="E13" s="11">
        <f t="shared" ca="1" si="0"/>
        <v>64134</v>
      </c>
      <c r="F13" s="41"/>
      <c r="G13" s="6"/>
      <c r="H13" s="11"/>
      <c r="I13" s="6"/>
    </row>
    <row r="15" spans="1:9" ht="17.399999999999999" x14ac:dyDescent="0.5">
      <c r="G15" s="87"/>
      <c r="H15" s="88"/>
      <c r="I15" s="87"/>
    </row>
    <row r="18" spans="7:9" ht="17.399999999999999" x14ac:dyDescent="0.5">
      <c r="G18" s="87"/>
      <c r="H18" s="88"/>
      <c r="I18" s="87"/>
    </row>
    <row r="21" spans="7:9" ht="17.399999999999999" x14ac:dyDescent="0.5">
      <c r="G21" s="87"/>
      <c r="H21" s="88"/>
      <c r="I21" s="87"/>
    </row>
  </sheetData>
  <sheetProtection algorithmName="SHA-512" hashValue="tdtWmC0uTvG0TzuDZGDlntUDKTE7TgkuHlEq41z0eaLNbPShPiqN40Kl9t8IxobhLgQiTC9G8ZWHqPVgzpqaWQ==" saltValue="wqoUKUMHO4gtdoD3UGQVDQ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"/>
  <sheetViews>
    <sheetView showGridLines="0" topLeftCell="I1" workbookViewId="0">
      <pane ySplit="1" topLeftCell="A2" activePane="bottomLeft" state="frozen"/>
      <selection activeCell="C15" sqref="C15"/>
      <selection pane="bottomLeft" activeCell="K14" sqref="K14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21.5546875" bestFit="1" customWidth="1"/>
    <col min="4" max="4" width="28.44140625" bestFit="1" customWidth="1"/>
    <col min="5" max="5" width="28.5546875" bestFit="1" customWidth="1"/>
    <col min="6" max="6" width="28.44140625" bestFit="1" customWidth="1"/>
    <col min="7" max="7" width="4" customWidth="1"/>
    <col min="8" max="8" width="21.44140625" customWidth="1"/>
    <col min="9" max="9" width="44.5546875" customWidth="1"/>
    <col min="10" max="10" width="15.5546875" customWidth="1"/>
    <col min="11" max="11" width="126.5546875" customWidth="1"/>
  </cols>
  <sheetData>
    <row r="1" spans="1:11" ht="29.85" customHeight="1" thickBot="1" x14ac:dyDescent="0.75">
      <c r="A1" s="40" t="s">
        <v>0</v>
      </c>
      <c r="B1" s="40" t="s">
        <v>1</v>
      </c>
      <c r="C1" s="40" t="s">
        <v>41</v>
      </c>
      <c r="D1" s="40" t="s">
        <v>42</v>
      </c>
      <c r="E1" s="40" t="s">
        <v>43</v>
      </c>
      <c r="F1" s="40" t="s">
        <v>44</v>
      </c>
      <c r="G1" s="41"/>
      <c r="H1" s="42" t="s">
        <v>35</v>
      </c>
      <c r="I1" s="42" t="s">
        <v>45</v>
      </c>
      <c r="J1" s="42" t="s">
        <v>46</v>
      </c>
      <c r="K1" s="42" t="s">
        <v>47</v>
      </c>
    </row>
    <row r="2" spans="1:11" ht="17.399999999999999" x14ac:dyDescent="0.5">
      <c r="A2" s="43">
        <v>45658</v>
      </c>
      <c r="B2" s="44" t="s">
        <v>4</v>
      </c>
      <c r="C2" s="5">
        <f ca="1">RANDBETWEEN(300,450)</f>
        <v>341</v>
      </c>
      <c r="D2" s="5">
        <f ca="1">RANDBETWEEN(300,C2)</f>
        <v>333</v>
      </c>
      <c r="E2" s="5">
        <f ca="1">RANDBETWEEN(1,5)</f>
        <v>3</v>
      </c>
      <c r="F2" s="12">
        <f ca="1">D2/C2</f>
        <v>0.97653958944281527</v>
      </c>
      <c r="G2" s="41"/>
      <c r="H2" s="7">
        <v>3512356</v>
      </c>
      <c r="I2" s="7" t="s">
        <v>171</v>
      </c>
      <c r="J2" s="89">
        <f ca="1">RANDBETWEEN(10,250)</f>
        <v>144</v>
      </c>
      <c r="K2" s="5" t="s">
        <v>175</v>
      </c>
    </row>
    <row r="3" spans="1:11" ht="17.399999999999999" x14ac:dyDescent="0.5">
      <c r="A3" s="43">
        <v>45689</v>
      </c>
      <c r="B3" s="44" t="s">
        <v>5</v>
      </c>
      <c r="C3" s="5">
        <f t="shared" ref="C3:C13" ca="1" si="0">RANDBETWEEN(300,450)</f>
        <v>304</v>
      </c>
      <c r="D3" s="5">
        <f t="shared" ref="D3:D13" ca="1" si="1">RANDBETWEEN(300,C3)</f>
        <v>304</v>
      </c>
      <c r="E3" s="5">
        <f t="shared" ref="E3:E13" ca="1" si="2">RANDBETWEEN(1,5)</f>
        <v>2</v>
      </c>
      <c r="F3" s="12">
        <f t="shared" ref="F3:F6" ca="1" si="3">D3/C3</f>
        <v>1</v>
      </c>
      <c r="G3" s="41"/>
      <c r="H3" s="5">
        <v>3521455</v>
      </c>
      <c r="I3" s="5" t="s">
        <v>172</v>
      </c>
      <c r="J3" s="89">
        <f t="shared" ref="J3:J13" ca="1" si="4">RANDBETWEEN(10,250)</f>
        <v>48</v>
      </c>
      <c r="K3" s="5" t="s">
        <v>174</v>
      </c>
    </row>
    <row r="4" spans="1:11" ht="17.399999999999999" x14ac:dyDescent="0.5">
      <c r="A4" s="43">
        <v>45717</v>
      </c>
      <c r="B4" s="44" t="s">
        <v>6</v>
      </c>
      <c r="C4" s="5">
        <f t="shared" ca="1" si="0"/>
        <v>358</v>
      </c>
      <c r="D4" s="5">
        <f t="shared" ca="1" si="1"/>
        <v>316</v>
      </c>
      <c r="E4" s="5">
        <f t="shared" ca="1" si="2"/>
        <v>2</v>
      </c>
      <c r="F4" s="12">
        <f t="shared" ca="1" si="3"/>
        <v>0.88268156424581001</v>
      </c>
      <c r="G4" s="41"/>
      <c r="H4" s="5">
        <v>3505050</v>
      </c>
      <c r="I4" s="5" t="s">
        <v>177</v>
      </c>
      <c r="J4" s="89">
        <f t="shared" ca="1" si="4"/>
        <v>247</v>
      </c>
      <c r="K4" s="5" t="s">
        <v>173</v>
      </c>
    </row>
    <row r="5" spans="1:11" ht="17.399999999999999" x14ac:dyDescent="0.5">
      <c r="A5" s="43">
        <v>45749</v>
      </c>
      <c r="B5" s="44" t="s">
        <v>7</v>
      </c>
      <c r="C5" s="5">
        <f t="shared" ca="1" si="0"/>
        <v>377</v>
      </c>
      <c r="D5" s="5">
        <f t="shared" ca="1" si="1"/>
        <v>300</v>
      </c>
      <c r="E5" s="5">
        <f t="shared" ca="1" si="2"/>
        <v>3</v>
      </c>
      <c r="F5" s="12">
        <f t="shared" ca="1" si="3"/>
        <v>0.79575596816976124</v>
      </c>
      <c r="G5" s="41"/>
      <c r="H5" s="5"/>
      <c r="I5" s="5" t="s">
        <v>176</v>
      </c>
      <c r="J5" s="89">
        <f t="shared" ca="1" si="4"/>
        <v>232</v>
      </c>
      <c r="K5" s="5" t="s">
        <v>173</v>
      </c>
    </row>
    <row r="6" spans="1:11" ht="17.399999999999999" x14ac:dyDescent="0.5">
      <c r="A6" s="43">
        <v>45780</v>
      </c>
      <c r="B6" s="44" t="s">
        <v>8</v>
      </c>
      <c r="C6" s="5">
        <f t="shared" ca="1" si="0"/>
        <v>305</v>
      </c>
      <c r="D6" s="5">
        <f t="shared" ca="1" si="1"/>
        <v>305</v>
      </c>
      <c r="E6" s="5">
        <f t="shared" ca="1" si="2"/>
        <v>3</v>
      </c>
      <c r="F6" s="12">
        <f t="shared" ca="1" si="3"/>
        <v>1</v>
      </c>
      <c r="G6" s="41"/>
      <c r="H6" s="5"/>
      <c r="I6" s="5" t="s">
        <v>178</v>
      </c>
      <c r="J6" s="89">
        <f t="shared" ca="1" si="4"/>
        <v>220</v>
      </c>
      <c r="K6" s="5" t="s">
        <v>173</v>
      </c>
    </row>
    <row r="7" spans="1:11" ht="17.399999999999999" x14ac:dyDescent="0.5">
      <c r="A7" s="43">
        <v>45809</v>
      </c>
      <c r="B7" s="44" t="s">
        <v>9</v>
      </c>
      <c r="C7" s="5">
        <f t="shared" ca="1" si="0"/>
        <v>304</v>
      </c>
      <c r="D7" s="5">
        <f t="shared" ca="1" si="1"/>
        <v>302</v>
      </c>
      <c r="E7" s="5">
        <f t="shared" ca="1" si="2"/>
        <v>1</v>
      </c>
      <c r="F7" s="12">
        <f t="shared" ref="F7:F13" ca="1" si="5">D7/C7</f>
        <v>0.99342105263157898</v>
      </c>
      <c r="G7" s="41"/>
      <c r="H7" s="5"/>
      <c r="I7" s="5" t="s">
        <v>179</v>
      </c>
      <c r="J7" s="89">
        <f t="shared" ca="1" si="4"/>
        <v>226</v>
      </c>
      <c r="K7" s="5" t="s">
        <v>175</v>
      </c>
    </row>
    <row r="8" spans="1:11" ht="17.399999999999999" x14ac:dyDescent="0.5">
      <c r="A8" s="43">
        <v>45839</v>
      </c>
      <c r="B8" s="44" t="s">
        <v>10</v>
      </c>
      <c r="C8" s="5">
        <f t="shared" ca="1" si="0"/>
        <v>425</v>
      </c>
      <c r="D8" s="5">
        <f t="shared" ca="1" si="1"/>
        <v>318</v>
      </c>
      <c r="E8" s="5">
        <f t="shared" ca="1" si="2"/>
        <v>1</v>
      </c>
      <c r="F8" s="12">
        <f t="shared" ca="1" si="5"/>
        <v>0.74823529411764711</v>
      </c>
      <c r="G8" s="41"/>
      <c r="H8" s="5"/>
      <c r="I8" s="5" t="s">
        <v>180</v>
      </c>
      <c r="J8" s="89">
        <f t="shared" ca="1" si="4"/>
        <v>180</v>
      </c>
      <c r="K8" s="5" t="s">
        <v>174</v>
      </c>
    </row>
    <row r="9" spans="1:11" ht="17.399999999999999" x14ac:dyDescent="0.5">
      <c r="A9" s="43">
        <v>45870</v>
      </c>
      <c r="B9" s="44" t="s">
        <v>11</v>
      </c>
      <c r="C9" s="5">
        <f t="shared" ca="1" si="0"/>
        <v>318</v>
      </c>
      <c r="D9" s="5">
        <f t="shared" ca="1" si="1"/>
        <v>316</v>
      </c>
      <c r="E9" s="5">
        <f t="shared" ca="1" si="2"/>
        <v>4</v>
      </c>
      <c r="F9" s="12">
        <f t="shared" ca="1" si="5"/>
        <v>0.99371069182389937</v>
      </c>
      <c r="G9" s="41"/>
      <c r="H9" s="5"/>
      <c r="I9" s="5" t="s">
        <v>181</v>
      </c>
      <c r="J9" s="89">
        <f t="shared" ca="1" si="4"/>
        <v>19</v>
      </c>
      <c r="K9" s="5" t="s">
        <v>175</v>
      </c>
    </row>
    <row r="10" spans="1:11" ht="17.399999999999999" x14ac:dyDescent="0.5">
      <c r="A10" s="43">
        <v>45901</v>
      </c>
      <c r="B10" s="44" t="s">
        <v>12</v>
      </c>
      <c r="C10" s="5">
        <f t="shared" ca="1" si="0"/>
        <v>347</v>
      </c>
      <c r="D10" s="5">
        <f t="shared" ca="1" si="1"/>
        <v>327</v>
      </c>
      <c r="E10" s="5">
        <f t="shared" ca="1" si="2"/>
        <v>4</v>
      </c>
      <c r="F10" s="12">
        <f t="shared" ca="1" si="5"/>
        <v>0.94236311239193082</v>
      </c>
      <c r="G10" s="41"/>
      <c r="H10" s="5"/>
      <c r="I10" s="5" t="s">
        <v>182</v>
      </c>
      <c r="J10" s="89">
        <f t="shared" ca="1" si="4"/>
        <v>220</v>
      </c>
      <c r="K10" s="5" t="s">
        <v>174</v>
      </c>
    </row>
    <row r="11" spans="1:11" ht="17.399999999999999" x14ac:dyDescent="0.5">
      <c r="A11" s="43">
        <v>45931</v>
      </c>
      <c r="B11" s="44" t="s">
        <v>13</v>
      </c>
      <c r="C11" s="5">
        <f t="shared" ca="1" si="0"/>
        <v>399</v>
      </c>
      <c r="D11" s="5">
        <f t="shared" ca="1" si="1"/>
        <v>319</v>
      </c>
      <c r="E11" s="5">
        <f t="shared" ca="1" si="2"/>
        <v>1</v>
      </c>
      <c r="F11" s="12">
        <f t="shared" ca="1" si="5"/>
        <v>0.79949874686716793</v>
      </c>
      <c r="G11" s="41"/>
      <c r="H11" s="5"/>
      <c r="I11" s="5" t="s">
        <v>183</v>
      </c>
      <c r="J11" s="89">
        <f t="shared" ca="1" si="4"/>
        <v>95</v>
      </c>
      <c r="K11" s="5" t="s">
        <v>175</v>
      </c>
    </row>
    <row r="12" spans="1:11" ht="17.399999999999999" x14ac:dyDescent="0.5">
      <c r="A12" s="43">
        <v>45962</v>
      </c>
      <c r="B12" s="44" t="s">
        <v>14</v>
      </c>
      <c r="C12" s="5">
        <f t="shared" ca="1" si="0"/>
        <v>344</v>
      </c>
      <c r="D12" s="5">
        <f t="shared" ca="1" si="1"/>
        <v>325</v>
      </c>
      <c r="E12" s="5">
        <f t="shared" ca="1" si="2"/>
        <v>4</v>
      </c>
      <c r="F12" s="12">
        <f t="shared" ca="1" si="5"/>
        <v>0.94476744186046513</v>
      </c>
      <c r="G12" s="41"/>
      <c r="H12" s="5"/>
      <c r="I12" s="5" t="s">
        <v>184</v>
      </c>
      <c r="J12" s="89">
        <f t="shared" ca="1" si="4"/>
        <v>149</v>
      </c>
      <c r="K12" s="5" t="s">
        <v>174</v>
      </c>
    </row>
    <row r="13" spans="1:11" ht="18" thickBot="1" x14ac:dyDescent="0.55000000000000004">
      <c r="A13" s="45">
        <v>45992</v>
      </c>
      <c r="B13" s="46" t="s">
        <v>15</v>
      </c>
      <c r="C13" s="6">
        <f t="shared" ca="1" si="0"/>
        <v>330</v>
      </c>
      <c r="D13" s="6">
        <f t="shared" ca="1" si="1"/>
        <v>300</v>
      </c>
      <c r="E13" s="6">
        <f t="shared" ca="1" si="2"/>
        <v>1</v>
      </c>
      <c r="F13" s="13">
        <f t="shared" ca="1" si="5"/>
        <v>0.90909090909090906</v>
      </c>
      <c r="G13" s="41"/>
      <c r="H13" s="6"/>
      <c r="I13" s="6" t="s">
        <v>185</v>
      </c>
      <c r="J13" s="90">
        <f t="shared" ca="1" si="4"/>
        <v>94</v>
      </c>
      <c r="K13" s="6" t="s">
        <v>186</v>
      </c>
    </row>
  </sheetData>
  <sheetProtection algorithmName="SHA-512" hashValue="HZmm/tWrU74Yv6aS6QU9fxW0LKRuAriMDlN1GfSkp+sWNbe5QUM1zHx+WKRxlr/mXLC+skdhq8VVu9Bik+28wg==" saltValue="o/Wd6CrjTn9WpIfi6NdkKw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showGridLines="0" workbookViewId="0">
      <pane ySplit="1" topLeftCell="A2" activePane="bottomLeft" state="frozen"/>
      <selection activeCell="C15" sqref="C15"/>
      <selection pane="bottomLeft" activeCell="D10" sqref="D10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24.44140625" bestFit="1" customWidth="1"/>
    <col min="4" max="4" width="22.5546875" bestFit="1" customWidth="1"/>
  </cols>
  <sheetData>
    <row r="1" spans="1:5" ht="23.4" x14ac:dyDescent="0.7">
      <c r="A1" s="52" t="s">
        <v>0</v>
      </c>
      <c r="B1" s="52" t="s">
        <v>1</v>
      </c>
      <c r="C1" s="52" t="s">
        <v>48</v>
      </c>
      <c r="D1" s="52" t="s">
        <v>49</v>
      </c>
    </row>
    <row r="2" spans="1:5" ht="17.399999999999999" x14ac:dyDescent="0.5">
      <c r="A2" s="43">
        <v>45658</v>
      </c>
      <c r="B2" s="44" t="s">
        <v>4</v>
      </c>
      <c r="C2" s="5">
        <f ca="1">RANDBETWEEN(10,120)</f>
        <v>76</v>
      </c>
      <c r="D2" s="5">
        <f ca="1">RANDBETWEEN(5,C2*2)</f>
        <v>12</v>
      </c>
    </row>
    <row r="3" spans="1:5" ht="17.399999999999999" x14ac:dyDescent="0.5">
      <c r="A3" s="43">
        <v>45689</v>
      </c>
      <c r="B3" s="44" t="s">
        <v>5</v>
      </c>
      <c r="C3" s="5">
        <f t="shared" ref="C3:C13" ca="1" si="0">RANDBETWEEN(10,120)</f>
        <v>83</v>
      </c>
      <c r="D3" s="5">
        <f ca="1">RANDBETWEEN(5,C3*2)</f>
        <v>137</v>
      </c>
    </row>
    <row r="4" spans="1:5" ht="17.399999999999999" x14ac:dyDescent="0.5">
      <c r="A4" s="43">
        <v>45717</v>
      </c>
      <c r="B4" s="44" t="s">
        <v>6</v>
      </c>
      <c r="C4" s="5">
        <f t="shared" ca="1" si="0"/>
        <v>22</v>
      </c>
      <c r="D4" s="5">
        <f t="shared" ref="D4:D13" ca="1" si="1">RANDBETWEEN(5,C4*2)</f>
        <v>41</v>
      </c>
    </row>
    <row r="5" spans="1:5" ht="17.399999999999999" x14ac:dyDescent="0.5">
      <c r="A5" s="43">
        <v>45748</v>
      </c>
      <c r="B5" s="44" t="s">
        <v>7</v>
      </c>
      <c r="C5" s="5">
        <f t="shared" ca="1" si="0"/>
        <v>84</v>
      </c>
      <c r="D5" s="5">
        <f t="shared" ca="1" si="1"/>
        <v>24</v>
      </c>
    </row>
    <row r="6" spans="1:5" ht="17.399999999999999" x14ac:dyDescent="0.5">
      <c r="A6" s="43">
        <v>45778</v>
      </c>
      <c r="B6" s="44" t="s">
        <v>8</v>
      </c>
      <c r="C6" s="5">
        <f t="shared" ca="1" si="0"/>
        <v>24</v>
      </c>
      <c r="D6" s="5">
        <f t="shared" ca="1" si="1"/>
        <v>28</v>
      </c>
    </row>
    <row r="7" spans="1:5" ht="17.399999999999999" x14ac:dyDescent="0.5">
      <c r="A7" s="43">
        <v>45809</v>
      </c>
      <c r="B7" s="44" t="s">
        <v>9</v>
      </c>
      <c r="C7" s="5">
        <f t="shared" ca="1" si="0"/>
        <v>42</v>
      </c>
      <c r="D7" s="5">
        <f t="shared" ca="1" si="1"/>
        <v>21</v>
      </c>
    </row>
    <row r="8" spans="1:5" ht="17.399999999999999" x14ac:dyDescent="0.5">
      <c r="A8" s="43">
        <v>45839</v>
      </c>
      <c r="B8" s="44" t="s">
        <v>10</v>
      </c>
      <c r="C8" s="5">
        <f t="shared" ca="1" si="0"/>
        <v>75</v>
      </c>
      <c r="D8" s="5">
        <f t="shared" ca="1" si="1"/>
        <v>100</v>
      </c>
    </row>
    <row r="9" spans="1:5" ht="17.399999999999999" x14ac:dyDescent="0.5">
      <c r="A9" s="43">
        <v>45870</v>
      </c>
      <c r="B9" s="44" t="s">
        <v>11</v>
      </c>
      <c r="C9" s="5">
        <f t="shared" ca="1" si="0"/>
        <v>27</v>
      </c>
      <c r="D9" s="5">
        <f t="shared" ca="1" si="1"/>
        <v>38</v>
      </c>
    </row>
    <row r="10" spans="1:5" ht="17.399999999999999" x14ac:dyDescent="0.5">
      <c r="A10" s="43">
        <v>45901</v>
      </c>
      <c r="B10" s="44" t="s">
        <v>12</v>
      </c>
      <c r="C10" s="5">
        <f t="shared" ca="1" si="0"/>
        <v>41</v>
      </c>
      <c r="D10" s="5">
        <f t="shared" ca="1" si="1"/>
        <v>77</v>
      </c>
      <c r="E10" s="41"/>
    </row>
    <row r="11" spans="1:5" ht="17.399999999999999" x14ac:dyDescent="0.5">
      <c r="A11" s="43">
        <v>45931</v>
      </c>
      <c r="B11" s="44" t="s">
        <v>13</v>
      </c>
      <c r="C11" s="5">
        <f t="shared" ca="1" si="0"/>
        <v>66</v>
      </c>
      <c r="D11" s="5">
        <f t="shared" ca="1" si="1"/>
        <v>62</v>
      </c>
    </row>
    <row r="12" spans="1:5" ht="17.399999999999999" x14ac:dyDescent="0.5">
      <c r="A12" s="43">
        <v>45962</v>
      </c>
      <c r="B12" s="44" t="s">
        <v>14</v>
      </c>
      <c r="C12" s="5">
        <f t="shared" ca="1" si="0"/>
        <v>62</v>
      </c>
      <c r="D12" s="5">
        <f t="shared" ca="1" si="1"/>
        <v>54</v>
      </c>
    </row>
    <row r="13" spans="1:5" ht="18" thickBot="1" x14ac:dyDescent="0.55000000000000004">
      <c r="A13" s="45">
        <v>45992</v>
      </c>
      <c r="B13" s="46" t="s">
        <v>15</v>
      </c>
      <c r="C13" s="6">
        <f t="shared" ca="1" si="0"/>
        <v>32</v>
      </c>
      <c r="D13" s="6">
        <f t="shared" ca="1" si="1"/>
        <v>10</v>
      </c>
    </row>
  </sheetData>
  <sheetProtection algorithmName="SHA-512" hashValue="PLT5zgFL5HtAwlQtJOwI/DG3aMLnCB66lalkRHGTUBSMTWDOsCP376ukwiJhUlBrJmgxsgKlEk2KL2cAAk3FZw==" saltValue="N8iTY5B5PlI6i8jPcz60/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showGridLines="0" workbookViewId="0">
      <pane ySplit="1" topLeftCell="A2" activePane="bottomLeft" state="frozen"/>
      <selection activeCell="C15" sqref="C15"/>
      <selection pane="bottomLeft" activeCell="F9" sqref="F9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21.5546875" bestFit="1" customWidth="1"/>
    <col min="4" max="4" width="21.44140625" bestFit="1" customWidth="1"/>
    <col min="5" max="5" width="27.44140625" bestFit="1" customWidth="1"/>
    <col min="6" max="6" width="44.44140625" bestFit="1" customWidth="1"/>
    <col min="7" max="7" width="35.44140625" bestFit="1" customWidth="1"/>
  </cols>
  <sheetData>
    <row r="1" spans="1:7" ht="23.4" x14ac:dyDescent="0.7">
      <c r="A1" s="52" t="s">
        <v>0</v>
      </c>
      <c r="B1" s="52" t="s">
        <v>1</v>
      </c>
      <c r="C1" s="52" t="s">
        <v>41</v>
      </c>
      <c r="D1" s="52" t="s">
        <v>50</v>
      </c>
      <c r="E1" s="52" t="s">
        <v>51</v>
      </c>
      <c r="F1" s="52" t="s">
        <v>52</v>
      </c>
      <c r="G1" s="52" t="s">
        <v>53</v>
      </c>
    </row>
    <row r="2" spans="1:7" ht="17.399999999999999" x14ac:dyDescent="0.5">
      <c r="A2" s="43">
        <v>45658</v>
      </c>
      <c r="B2" s="44" t="s">
        <v>4</v>
      </c>
      <c r="C2" s="5">
        <f ca="1">RANDBETWEEN(50,200)</f>
        <v>197</v>
      </c>
      <c r="D2" s="5">
        <f ca="1">RANDBETWEEN(50,C2)</f>
        <v>125</v>
      </c>
      <c r="E2" s="5">
        <f t="shared" ref="E2:E13" ca="1" si="0">C2-D2</f>
        <v>72</v>
      </c>
      <c r="F2" s="5">
        <f ca="1">RANDBETWEEN(E2,130)</f>
        <v>123</v>
      </c>
      <c r="G2" s="10">
        <f ca="1">RANDBETWEEN(800000,1500000)</f>
        <v>1371695</v>
      </c>
    </row>
    <row r="3" spans="1:7" ht="17.399999999999999" x14ac:dyDescent="0.5">
      <c r="A3" s="43">
        <v>45689</v>
      </c>
      <c r="B3" s="44" t="s">
        <v>5</v>
      </c>
      <c r="C3" s="5">
        <f t="shared" ref="C3:C13" ca="1" si="1">RANDBETWEEN(50,200)</f>
        <v>105</v>
      </c>
      <c r="D3" s="5">
        <f t="shared" ref="D3:D13" ca="1" si="2">RANDBETWEEN(50,C3)</f>
        <v>59</v>
      </c>
      <c r="E3" s="5">
        <f t="shared" ca="1" si="0"/>
        <v>46</v>
      </c>
      <c r="F3" s="5">
        <f t="shared" ref="F3:F13" ca="1" si="3">RANDBETWEEN(E3,130)</f>
        <v>73</v>
      </c>
      <c r="G3" s="10">
        <f t="shared" ref="G3:G13" ca="1" si="4">RANDBETWEEN(800000,1500000)</f>
        <v>926668</v>
      </c>
    </row>
    <row r="4" spans="1:7" ht="17.399999999999999" x14ac:dyDescent="0.5">
      <c r="A4" s="43">
        <v>45717</v>
      </c>
      <c r="B4" s="44" t="s">
        <v>6</v>
      </c>
      <c r="C4" s="5">
        <f t="shared" ca="1" si="1"/>
        <v>144</v>
      </c>
      <c r="D4" s="5">
        <f t="shared" ca="1" si="2"/>
        <v>74</v>
      </c>
      <c r="E4" s="5">
        <f t="shared" ca="1" si="0"/>
        <v>70</v>
      </c>
      <c r="F4" s="5">
        <f t="shared" ca="1" si="3"/>
        <v>97</v>
      </c>
      <c r="G4" s="10">
        <f t="shared" ca="1" si="4"/>
        <v>1122248</v>
      </c>
    </row>
    <row r="5" spans="1:7" ht="17.399999999999999" x14ac:dyDescent="0.5">
      <c r="A5" s="43">
        <v>45748</v>
      </c>
      <c r="B5" s="44" t="s">
        <v>7</v>
      </c>
      <c r="C5" s="5">
        <f t="shared" ca="1" si="1"/>
        <v>159</v>
      </c>
      <c r="D5" s="5">
        <f t="shared" ca="1" si="2"/>
        <v>53</v>
      </c>
      <c r="E5" s="5">
        <f t="shared" ca="1" si="0"/>
        <v>106</v>
      </c>
      <c r="F5" s="5">
        <f t="shared" ca="1" si="3"/>
        <v>118</v>
      </c>
      <c r="G5" s="10">
        <f t="shared" ca="1" si="4"/>
        <v>1151336</v>
      </c>
    </row>
    <row r="6" spans="1:7" ht="17.399999999999999" x14ac:dyDescent="0.5">
      <c r="A6" s="43">
        <v>45778</v>
      </c>
      <c r="B6" s="44" t="s">
        <v>8</v>
      </c>
      <c r="C6" s="5">
        <f t="shared" ca="1" si="1"/>
        <v>55</v>
      </c>
      <c r="D6" s="5">
        <f t="shared" ca="1" si="2"/>
        <v>52</v>
      </c>
      <c r="E6" s="5">
        <f t="shared" ca="1" si="0"/>
        <v>3</v>
      </c>
      <c r="F6" s="5">
        <f t="shared" ca="1" si="3"/>
        <v>88</v>
      </c>
      <c r="G6" s="10">
        <f t="shared" ca="1" si="4"/>
        <v>1460598</v>
      </c>
    </row>
    <row r="7" spans="1:7" ht="17.399999999999999" x14ac:dyDescent="0.5">
      <c r="A7" s="43">
        <v>45809</v>
      </c>
      <c r="B7" s="44" t="s">
        <v>9</v>
      </c>
      <c r="C7" s="5">
        <f t="shared" ca="1" si="1"/>
        <v>189</v>
      </c>
      <c r="D7" s="5">
        <f t="shared" ca="1" si="2"/>
        <v>59</v>
      </c>
      <c r="E7" s="5">
        <f t="shared" ca="1" si="0"/>
        <v>130</v>
      </c>
      <c r="F7" s="5">
        <f t="shared" ca="1" si="3"/>
        <v>130</v>
      </c>
      <c r="G7" s="10">
        <f t="shared" ca="1" si="4"/>
        <v>1118503</v>
      </c>
    </row>
    <row r="8" spans="1:7" ht="17.399999999999999" x14ac:dyDescent="0.5">
      <c r="A8" s="43">
        <v>45839</v>
      </c>
      <c r="B8" s="44" t="s">
        <v>10</v>
      </c>
      <c r="C8" s="1">
        <f t="shared" ca="1" si="1"/>
        <v>139</v>
      </c>
      <c r="D8" s="1">
        <f t="shared" ca="1" si="2"/>
        <v>69</v>
      </c>
      <c r="E8" s="1">
        <f t="shared" ca="1" si="0"/>
        <v>70</v>
      </c>
      <c r="F8" s="1">
        <f t="shared" ca="1" si="3"/>
        <v>86</v>
      </c>
      <c r="G8" s="8">
        <f t="shared" ca="1" si="4"/>
        <v>1233711</v>
      </c>
    </row>
    <row r="9" spans="1:7" ht="17.399999999999999" x14ac:dyDescent="0.5">
      <c r="A9" s="43">
        <v>45870</v>
      </c>
      <c r="B9" s="44" t="s">
        <v>11</v>
      </c>
      <c r="C9" s="1">
        <f t="shared" ca="1" si="1"/>
        <v>149</v>
      </c>
      <c r="D9" s="1">
        <f t="shared" ca="1" si="2"/>
        <v>144</v>
      </c>
      <c r="E9" s="1">
        <f t="shared" ca="1" si="0"/>
        <v>5</v>
      </c>
      <c r="F9" s="1">
        <f t="shared" ca="1" si="3"/>
        <v>24</v>
      </c>
      <c r="G9" s="8">
        <f t="shared" ca="1" si="4"/>
        <v>1209559</v>
      </c>
    </row>
    <row r="10" spans="1:7" ht="17.399999999999999" x14ac:dyDescent="0.5">
      <c r="A10" s="43">
        <v>45901</v>
      </c>
      <c r="B10" s="44" t="s">
        <v>12</v>
      </c>
      <c r="C10" s="1">
        <f t="shared" ca="1" si="1"/>
        <v>181</v>
      </c>
      <c r="D10" s="1">
        <f t="shared" ca="1" si="2"/>
        <v>148</v>
      </c>
      <c r="E10" s="1">
        <f t="shared" ca="1" si="0"/>
        <v>33</v>
      </c>
      <c r="F10" s="1">
        <f t="shared" ca="1" si="3"/>
        <v>128</v>
      </c>
      <c r="G10" s="8">
        <f t="shared" ca="1" si="4"/>
        <v>1192891</v>
      </c>
    </row>
    <row r="11" spans="1:7" ht="17.399999999999999" x14ac:dyDescent="0.5">
      <c r="A11" s="43">
        <v>45931</v>
      </c>
      <c r="B11" s="44" t="s">
        <v>13</v>
      </c>
      <c r="C11" s="1">
        <f t="shared" ca="1" si="1"/>
        <v>87</v>
      </c>
      <c r="D11" s="1">
        <f t="shared" ca="1" si="2"/>
        <v>56</v>
      </c>
      <c r="E11" s="1">
        <f t="shared" ca="1" si="0"/>
        <v>31</v>
      </c>
      <c r="F11" s="1">
        <f t="shared" ca="1" si="3"/>
        <v>129</v>
      </c>
      <c r="G11" s="8">
        <f t="shared" ca="1" si="4"/>
        <v>1144601</v>
      </c>
    </row>
    <row r="12" spans="1:7" ht="17.399999999999999" x14ac:dyDescent="0.5">
      <c r="A12" s="43">
        <v>45962</v>
      </c>
      <c r="B12" s="44" t="s">
        <v>14</v>
      </c>
      <c r="C12" s="1">
        <f t="shared" ca="1" si="1"/>
        <v>89</v>
      </c>
      <c r="D12" s="1">
        <f t="shared" ca="1" si="2"/>
        <v>59</v>
      </c>
      <c r="E12" s="1">
        <f t="shared" ca="1" si="0"/>
        <v>30</v>
      </c>
      <c r="F12" s="1">
        <f t="shared" ca="1" si="3"/>
        <v>57</v>
      </c>
      <c r="G12" s="8">
        <f t="shared" ca="1" si="4"/>
        <v>1005872</v>
      </c>
    </row>
    <row r="13" spans="1:7" ht="18" thickBot="1" x14ac:dyDescent="0.55000000000000004">
      <c r="A13" s="45">
        <v>45992</v>
      </c>
      <c r="B13" s="46" t="s">
        <v>15</v>
      </c>
      <c r="C13" s="4">
        <f t="shared" ca="1" si="1"/>
        <v>188</v>
      </c>
      <c r="D13" s="4">
        <f t="shared" ca="1" si="2"/>
        <v>86</v>
      </c>
      <c r="E13" s="4">
        <f t="shared" ca="1" si="0"/>
        <v>102</v>
      </c>
      <c r="F13" s="4">
        <f t="shared" ca="1" si="3"/>
        <v>126</v>
      </c>
      <c r="G13" s="9">
        <f t="shared" ca="1" si="4"/>
        <v>1194823</v>
      </c>
    </row>
  </sheetData>
  <sheetProtection algorithmName="SHA-512" hashValue="kYM3qhve3mrxAqsuYkB70hSAn2JGS5+vi6kcQV2El7GRUzc67b3bEqNTk8nheZDpqFKI6Rh55zM4DvkMZThq9w==" saltValue="rC3CJL7JYMUnO0EAuKMtew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3"/>
  <sheetViews>
    <sheetView showGridLines="0" topLeftCell="E1" workbookViewId="0">
      <pane ySplit="1" topLeftCell="A2" activePane="bottomLeft" state="frozen"/>
      <selection activeCell="C15" sqref="C15"/>
      <selection pane="bottomLeft" activeCell="H4" sqref="H4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8.44140625" bestFit="1" customWidth="1"/>
    <col min="4" max="4" width="19.5546875" bestFit="1" customWidth="1"/>
    <col min="5" max="8" width="26.5546875" bestFit="1" customWidth="1"/>
    <col min="9" max="9" width="26.5546875" customWidth="1"/>
    <col min="10" max="10" width="25.44140625" bestFit="1" customWidth="1"/>
    <col min="11" max="11" width="22.44140625" bestFit="1" customWidth="1"/>
    <col min="12" max="12" width="23.44140625" bestFit="1" customWidth="1"/>
  </cols>
  <sheetData>
    <row r="1" spans="1:12" ht="24" thickBot="1" x14ac:dyDescent="0.75">
      <c r="A1" s="53" t="s">
        <v>0</v>
      </c>
      <c r="B1" s="52" t="s">
        <v>1</v>
      </c>
      <c r="C1" s="52" t="s">
        <v>3</v>
      </c>
      <c r="D1" s="52" t="s">
        <v>54</v>
      </c>
      <c r="E1" s="52" t="s">
        <v>55</v>
      </c>
      <c r="F1" s="52" t="s">
        <v>56</v>
      </c>
      <c r="G1" s="52" t="s">
        <v>57</v>
      </c>
      <c r="H1" s="52" t="s">
        <v>58</v>
      </c>
      <c r="I1" s="52" t="s">
        <v>59</v>
      </c>
      <c r="J1" s="52" t="s">
        <v>60</v>
      </c>
      <c r="K1" s="52" t="s">
        <v>61</v>
      </c>
      <c r="L1" s="52" t="s">
        <v>62</v>
      </c>
    </row>
    <row r="2" spans="1:12" ht="17.399999999999999" x14ac:dyDescent="0.5">
      <c r="A2" s="54">
        <v>45658</v>
      </c>
      <c r="B2" s="44" t="s">
        <v>4</v>
      </c>
      <c r="C2" s="5">
        <f ca="1">RANDBETWEEN(150,200)</f>
        <v>168</v>
      </c>
      <c r="D2" s="5">
        <f ca="1">RANDBETWEEN(150,C2)</f>
        <v>162</v>
      </c>
      <c r="E2" s="14">
        <f ca="1">D2/C2</f>
        <v>0.9642857142857143</v>
      </c>
      <c r="F2" s="10">
        <f ca="1">RANDBETWEEN(9000000,14000000)</f>
        <v>11096548</v>
      </c>
      <c r="G2" s="10">
        <f ca="1">RANDBETWEEN(1500000,3200000)</f>
        <v>2608772</v>
      </c>
      <c r="H2" s="5">
        <f ca="1">RANDBETWEEN(100,150)</f>
        <v>120</v>
      </c>
      <c r="I2" s="10">
        <f ca="1">RANDBETWEEN(2000000,5000000)</f>
        <v>4941685</v>
      </c>
      <c r="J2" s="10">
        <f ca="1">RANDBETWEEN(1000000,4000000)</f>
        <v>1565776</v>
      </c>
      <c r="K2" s="5">
        <f ca="1">RANDBETWEEN(100,L2)</f>
        <v>389</v>
      </c>
      <c r="L2" s="5">
        <f ca="1">RANDBETWEEN(300,900)</f>
        <v>439</v>
      </c>
    </row>
    <row r="3" spans="1:12" ht="17.399999999999999" x14ac:dyDescent="0.5">
      <c r="A3" s="54">
        <v>45689</v>
      </c>
      <c r="B3" s="44" t="s">
        <v>5</v>
      </c>
      <c r="C3" s="5">
        <f t="shared" ref="C3:C13" ca="1" si="0">RANDBETWEEN(150,200)</f>
        <v>169</v>
      </c>
      <c r="D3" s="5">
        <f t="shared" ref="D3:D13" ca="1" si="1">RANDBETWEEN(150,C3)</f>
        <v>157</v>
      </c>
      <c r="E3" s="14">
        <f t="shared" ref="E3:E13" ca="1" si="2">D3/C3</f>
        <v>0.92899408284023666</v>
      </c>
      <c r="F3" s="10">
        <f t="shared" ref="F3:F13" ca="1" si="3">RANDBETWEEN(9000000,14000000)</f>
        <v>11509518</v>
      </c>
      <c r="G3" s="10">
        <f t="shared" ref="G3:G13" ca="1" si="4">RANDBETWEEN(1500000,3200000)</f>
        <v>2340162</v>
      </c>
      <c r="H3" s="5">
        <f t="shared" ref="H3:H13" ca="1" si="5">RANDBETWEEN(100,150)</f>
        <v>134</v>
      </c>
      <c r="I3" s="10">
        <f t="shared" ref="I3:I13" ca="1" si="6">RANDBETWEEN(2000000,5000000)</f>
        <v>3619598</v>
      </c>
      <c r="J3" s="10">
        <f t="shared" ref="J3:J13" ca="1" si="7">RANDBETWEEN(1000000,4000000)</f>
        <v>3186874</v>
      </c>
      <c r="K3" s="5">
        <f t="shared" ref="K3:K13" ca="1" si="8">RANDBETWEEN(100,L3)</f>
        <v>753</v>
      </c>
      <c r="L3" s="5">
        <f t="shared" ref="L3:L13" ca="1" si="9">RANDBETWEEN(300,900)</f>
        <v>847</v>
      </c>
    </row>
    <row r="4" spans="1:12" ht="17.399999999999999" x14ac:dyDescent="0.5">
      <c r="A4" s="54">
        <v>45717</v>
      </c>
      <c r="B4" s="44" t="s">
        <v>6</v>
      </c>
      <c r="C4" s="5">
        <f t="shared" ca="1" si="0"/>
        <v>158</v>
      </c>
      <c r="D4" s="5">
        <f t="shared" ca="1" si="1"/>
        <v>155</v>
      </c>
      <c r="E4" s="14">
        <f t="shared" ca="1" si="2"/>
        <v>0.98101265822784811</v>
      </c>
      <c r="F4" s="10">
        <f t="shared" ca="1" si="3"/>
        <v>12845647</v>
      </c>
      <c r="G4" s="10">
        <f t="shared" ca="1" si="4"/>
        <v>2752674</v>
      </c>
      <c r="H4" s="5">
        <f t="shared" ca="1" si="5"/>
        <v>122</v>
      </c>
      <c r="I4" s="10">
        <f t="shared" ca="1" si="6"/>
        <v>3059186</v>
      </c>
      <c r="J4" s="10">
        <f t="shared" ca="1" si="7"/>
        <v>3521171</v>
      </c>
      <c r="K4" s="5">
        <f t="shared" ca="1" si="8"/>
        <v>514</v>
      </c>
      <c r="L4" s="5">
        <f t="shared" ca="1" si="9"/>
        <v>720</v>
      </c>
    </row>
    <row r="5" spans="1:12" ht="17.399999999999999" x14ac:dyDescent="0.5">
      <c r="A5" s="54">
        <v>45748</v>
      </c>
      <c r="B5" s="44" t="s">
        <v>7</v>
      </c>
      <c r="C5" s="5">
        <f t="shared" ca="1" si="0"/>
        <v>184</v>
      </c>
      <c r="D5" s="5">
        <f t="shared" ca="1" si="1"/>
        <v>166</v>
      </c>
      <c r="E5" s="14">
        <f t="shared" ca="1" si="2"/>
        <v>0.90217391304347827</v>
      </c>
      <c r="F5" s="10">
        <f t="shared" ca="1" si="3"/>
        <v>11711180</v>
      </c>
      <c r="G5" s="10">
        <f t="shared" ca="1" si="4"/>
        <v>2077758</v>
      </c>
      <c r="H5" s="5">
        <f t="shared" ca="1" si="5"/>
        <v>133</v>
      </c>
      <c r="I5" s="10">
        <f t="shared" ca="1" si="6"/>
        <v>2786600</v>
      </c>
      <c r="J5" s="10">
        <f t="shared" ca="1" si="7"/>
        <v>3547362</v>
      </c>
      <c r="K5" s="5">
        <f t="shared" ca="1" si="8"/>
        <v>605</v>
      </c>
      <c r="L5" s="5">
        <f t="shared" ca="1" si="9"/>
        <v>622</v>
      </c>
    </row>
    <row r="6" spans="1:12" ht="17.399999999999999" x14ac:dyDescent="0.5">
      <c r="A6" s="54">
        <v>45778</v>
      </c>
      <c r="B6" s="44" t="s">
        <v>8</v>
      </c>
      <c r="C6" s="5">
        <f t="shared" ca="1" si="0"/>
        <v>200</v>
      </c>
      <c r="D6" s="5">
        <f t="shared" ca="1" si="1"/>
        <v>159</v>
      </c>
      <c r="E6" s="14">
        <f t="shared" ca="1" si="2"/>
        <v>0.79500000000000004</v>
      </c>
      <c r="F6" s="10">
        <f t="shared" ca="1" si="3"/>
        <v>12666474</v>
      </c>
      <c r="G6" s="10">
        <f t="shared" ca="1" si="4"/>
        <v>2236539</v>
      </c>
      <c r="H6" s="5">
        <f t="shared" ca="1" si="5"/>
        <v>149</v>
      </c>
      <c r="I6" s="10">
        <f t="shared" ca="1" si="6"/>
        <v>3924814</v>
      </c>
      <c r="J6" s="10">
        <f t="shared" ca="1" si="7"/>
        <v>3943750</v>
      </c>
      <c r="K6" s="5">
        <f t="shared" ca="1" si="8"/>
        <v>208</v>
      </c>
      <c r="L6" s="5">
        <f t="shared" ca="1" si="9"/>
        <v>527</v>
      </c>
    </row>
    <row r="7" spans="1:12" ht="17.399999999999999" x14ac:dyDescent="0.5">
      <c r="A7" s="54">
        <v>45809</v>
      </c>
      <c r="B7" s="44" t="s">
        <v>9</v>
      </c>
      <c r="C7" s="5">
        <f t="shared" ca="1" si="0"/>
        <v>182</v>
      </c>
      <c r="D7" s="5">
        <f t="shared" ca="1" si="1"/>
        <v>170</v>
      </c>
      <c r="E7" s="14">
        <f t="shared" ca="1" si="2"/>
        <v>0.93406593406593408</v>
      </c>
      <c r="F7" s="10">
        <f t="shared" ca="1" si="3"/>
        <v>10336204</v>
      </c>
      <c r="G7" s="10">
        <f t="shared" ca="1" si="4"/>
        <v>3066787</v>
      </c>
      <c r="H7" s="5">
        <f t="shared" ca="1" si="5"/>
        <v>133</v>
      </c>
      <c r="I7" s="10">
        <f t="shared" ca="1" si="6"/>
        <v>3868022</v>
      </c>
      <c r="J7" s="10">
        <f t="shared" ca="1" si="7"/>
        <v>2095238</v>
      </c>
      <c r="K7" s="5">
        <f t="shared" ca="1" si="8"/>
        <v>209</v>
      </c>
      <c r="L7" s="5">
        <f t="shared" ca="1" si="9"/>
        <v>518</v>
      </c>
    </row>
    <row r="8" spans="1:12" ht="17.399999999999999" x14ac:dyDescent="0.5">
      <c r="A8" s="54">
        <v>45839</v>
      </c>
      <c r="B8" s="44" t="s">
        <v>10</v>
      </c>
      <c r="C8" s="1">
        <f t="shared" ca="1" si="0"/>
        <v>157</v>
      </c>
      <c r="D8" s="1">
        <f t="shared" ca="1" si="1"/>
        <v>156</v>
      </c>
      <c r="E8" s="14">
        <f t="shared" ca="1" si="2"/>
        <v>0.99363057324840764</v>
      </c>
      <c r="F8" s="8">
        <f t="shared" ca="1" si="3"/>
        <v>10228402</v>
      </c>
      <c r="G8" s="8">
        <f t="shared" ca="1" si="4"/>
        <v>2724679</v>
      </c>
      <c r="H8" s="1">
        <f t="shared" ca="1" si="5"/>
        <v>114</v>
      </c>
      <c r="I8" s="8">
        <f t="shared" ca="1" si="6"/>
        <v>4201767</v>
      </c>
      <c r="J8" s="8">
        <f t="shared" ca="1" si="7"/>
        <v>2626535</v>
      </c>
      <c r="K8" s="1">
        <f t="shared" ca="1" si="8"/>
        <v>273</v>
      </c>
      <c r="L8" s="1">
        <f t="shared" ca="1" si="9"/>
        <v>755</v>
      </c>
    </row>
    <row r="9" spans="1:12" ht="17.399999999999999" x14ac:dyDescent="0.5">
      <c r="A9" s="54">
        <v>45870</v>
      </c>
      <c r="B9" s="44" t="s">
        <v>11</v>
      </c>
      <c r="C9" s="1">
        <f t="shared" ca="1" si="0"/>
        <v>154</v>
      </c>
      <c r="D9" s="1">
        <f t="shared" ca="1" si="1"/>
        <v>153</v>
      </c>
      <c r="E9" s="2">
        <f t="shared" ca="1" si="2"/>
        <v>0.99350649350649356</v>
      </c>
      <c r="F9" s="8">
        <f t="shared" ca="1" si="3"/>
        <v>11472287</v>
      </c>
      <c r="G9" s="8">
        <f t="shared" ca="1" si="4"/>
        <v>2777760</v>
      </c>
      <c r="H9" s="1">
        <f t="shared" ca="1" si="5"/>
        <v>128</v>
      </c>
      <c r="I9" s="8">
        <f t="shared" ca="1" si="6"/>
        <v>2543089</v>
      </c>
      <c r="J9" s="8">
        <f t="shared" ca="1" si="7"/>
        <v>2365748</v>
      </c>
      <c r="K9" s="1">
        <f t="shared" ca="1" si="8"/>
        <v>400</v>
      </c>
      <c r="L9" s="1">
        <f t="shared" ca="1" si="9"/>
        <v>402</v>
      </c>
    </row>
    <row r="10" spans="1:12" ht="17.399999999999999" x14ac:dyDescent="0.5">
      <c r="A10" s="54">
        <v>45901</v>
      </c>
      <c r="B10" s="44" t="s">
        <v>12</v>
      </c>
      <c r="C10" s="1">
        <f t="shared" ca="1" si="0"/>
        <v>185</v>
      </c>
      <c r="D10" s="1">
        <f t="shared" ca="1" si="1"/>
        <v>173</v>
      </c>
      <c r="E10" s="2">
        <f t="shared" ca="1" si="2"/>
        <v>0.93513513513513513</v>
      </c>
      <c r="F10" s="8">
        <f t="shared" ca="1" si="3"/>
        <v>12269055</v>
      </c>
      <c r="G10" s="8">
        <f t="shared" ca="1" si="4"/>
        <v>1838826</v>
      </c>
      <c r="H10" s="1">
        <f t="shared" ca="1" si="5"/>
        <v>149</v>
      </c>
      <c r="I10" s="8">
        <f t="shared" ca="1" si="6"/>
        <v>2283562</v>
      </c>
      <c r="J10" s="8">
        <f t="shared" ca="1" si="7"/>
        <v>3201674</v>
      </c>
      <c r="K10" s="1">
        <f t="shared" ca="1" si="8"/>
        <v>461</v>
      </c>
      <c r="L10" s="1">
        <f t="shared" ca="1" si="9"/>
        <v>463</v>
      </c>
    </row>
    <row r="11" spans="1:12" ht="17.399999999999999" x14ac:dyDescent="0.5">
      <c r="A11" s="54">
        <v>45931</v>
      </c>
      <c r="B11" s="44" t="s">
        <v>13</v>
      </c>
      <c r="C11" s="1">
        <f t="shared" ca="1" si="0"/>
        <v>154</v>
      </c>
      <c r="D11" s="1">
        <f t="shared" ca="1" si="1"/>
        <v>150</v>
      </c>
      <c r="E11" s="2">
        <f t="shared" ca="1" si="2"/>
        <v>0.97402597402597402</v>
      </c>
      <c r="F11" s="8">
        <f t="shared" ca="1" si="3"/>
        <v>13323008</v>
      </c>
      <c r="G11" s="8">
        <f t="shared" ca="1" si="4"/>
        <v>3195226</v>
      </c>
      <c r="H11" s="1">
        <f t="shared" ca="1" si="5"/>
        <v>100</v>
      </c>
      <c r="I11" s="8">
        <f t="shared" ca="1" si="6"/>
        <v>2320456</v>
      </c>
      <c r="J11" s="8">
        <f t="shared" ca="1" si="7"/>
        <v>3205652</v>
      </c>
      <c r="K11" s="1">
        <f t="shared" ca="1" si="8"/>
        <v>179</v>
      </c>
      <c r="L11" s="1">
        <f t="shared" ca="1" si="9"/>
        <v>433</v>
      </c>
    </row>
    <row r="12" spans="1:12" ht="17.399999999999999" x14ac:dyDescent="0.5">
      <c r="A12" s="54">
        <v>45962</v>
      </c>
      <c r="B12" s="44" t="s">
        <v>14</v>
      </c>
      <c r="C12" s="1">
        <f t="shared" ca="1" si="0"/>
        <v>170</v>
      </c>
      <c r="D12" s="1">
        <f t="shared" ca="1" si="1"/>
        <v>167</v>
      </c>
      <c r="E12" s="2">
        <f t="shared" ca="1" si="2"/>
        <v>0.98235294117647054</v>
      </c>
      <c r="F12" s="8">
        <f t="shared" ca="1" si="3"/>
        <v>9320568</v>
      </c>
      <c r="G12" s="8">
        <f t="shared" ca="1" si="4"/>
        <v>2511090</v>
      </c>
      <c r="H12" s="1">
        <f t="shared" ca="1" si="5"/>
        <v>138</v>
      </c>
      <c r="I12" s="8">
        <f t="shared" ca="1" si="6"/>
        <v>3845154</v>
      </c>
      <c r="J12" s="8">
        <f t="shared" ca="1" si="7"/>
        <v>3904683</v>
      </c>
      <c r="K12" s="1">
        <f t="shared" ca="1" si="8"/>
        <v>778</v>
      </c>
      <c r="L12" s="1">
        <f t="shared" ca="1" si="9"/>
        <v>860</v>
      </c>
    </row>
    <row r="13" spans="1:12" ht="18" thickBot="1" x14ac:dyDescent="0.55000000000000004">
      <c r="A13" s="55">
        <v>45992</v>
      </c>
      <c r="B13" s="46" t="s">
        <v>15</v>
      </c>
      <c r="C13" s="4">
        <f t="shared" ca="1" si="0"/>
        <v>164</v>
      </c>
      <c r="D13" s="4">
        <f t="shared" ca="1" si="1"/>
        <v>159</v>
      </c>
      <c r="E13" s="37">
        <f t="shared" ca="1" si="2"/>
        <v>0.96951219512195119</v>
      </c>
      <c r="F13" s="9">
        <f t="shared" ca="1" si="3"/>
        <v>13389283</v>
      </c>
      <c r="G13" s="9">
        <f t="shared" ca="1" si="4"/>
        <v>3182527</v>
      </c>
      <c r="H13" s="4">
        <f t="shared" ca="1" si="5"/>
        <v>143</v>
      </c>
      <c r="I13" s="9">
        <f t="shared" ca="1" si="6"/>
        <v>3803820</v>
      </c>
      <c r="J13" s="9">
        <f t="shared" ca="1" si="7"/>
        <v>1446980</v>
      </c>
      <c r="K13" s="4">
        <f t="shared" ca="1" si="8"/>
        <v>140</v>
      </c>
      <c r="L13" s="4">
        <f t="shared" ca="1" si="9"/>
        <v>500</v>
      </c>
    </row>
  </sheetData>
  <sheetProtection algorithmName="SHA-512" hashValue="FYKReYIv0HH550Bpgwo+d4O8biFey6JBWlOEddS0C7tt/ccr9wsOKuQZHAnFKwUVo2pJFd+3pcQyL6deC/JeUw==" saltValue="JDZkbEzgh5H0EDidKilU7Q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"/>
  <sheetViews>
    <sheetView showGridLines="0" workbookViewId="0">
      <pane ySplit="1" topLeftCell="A2" activePane="bottomLeft" state="frozen"/>
      <selection activeCell="C15" sqref="C15"/>
      <selection pane="bottomLeft" activeCell="F5" sqref="F5"/>
    </sheetView>
  </sheetViews>
  <sheetFormatPr defaultColWidth="8.5546875" defaultRowHeight="14.4" x14ac:dyDescent="0.3"/>
  <cols>
    <col min="1" max="1" width="13.5546875" bestFit="1" customWidth="1"/>
    <col min="2" max="2" width="25.44140625" hidden="1" customWidth="1"/>
    <col min="3" max="3" width="21.44140625" hidden="1" customWidth="1"/>
    <col min="4" max="4" width="25.44140625" bestFit="1" customWidth="1"/>
    <col min="5" max="5" width="25" customWidth="1"/>
    <col min="6" max="7" width="27.44140625" customWidth="1"/>
    <col min="8" max="9" width="29.44140625" customWidth="1"/>
  </cols>
  <sheetData>
    <row r="1" spans="1:9" ht="70.8" thickBot="1" x14ac:dyDescent="0.35">
      <c r="A1" s="42" t="s">
        <v>63</v>
      </c>
      <c r="B1" s="47" t="s">
        <v>64</v>
      </c>
      <c r="C1" s="47" t="s">
        <v>65</v>
      </c>
      <c r="D1" s="47" t="s">
        <v>66</v>
      </c>
      <c r="E1" s="47" t="s">
        <v>67</v>
      </c>
      <c r="F1" s="47" t="s">
        <v>68</v>
      </c>
      <c r="G1" s="47" t="s">
        <v>69</v>
      </c>
      <c r="H1" s="47" t="s">
        <v>70</v>
      </c>
      <c r="I1" s="47" t="s">
        <v>71</v>
      </c>
    </row>
    <row r="2" spans="1:9" ht="17.399999999999999" x14ac:dyDescent="0.5">
      <c r="A2" s="65">
        <v>6</v>
      </c>
      <c r="B2" s="15">
        <v>0</v>
      </c>
      <c r="C2" s="94">
        <v>0</v>
      </c>
      <c r="D2" s="16">
        <f ca="1">RANDBETWEEN(20,500)</f>
        <v>478</v>
      </c>
      <c r="E2" s="102">
        <f ca="1">RANDBETWEEN(100000,2000000)</f>
        <v>665732</v>
      </c>
      <c r="F2" s="16">
        <f ca="1">RANDBETWEEN($D2*0,$D2*0.03)</f>
        <v>5</v>
      </c>
      <c r="G2" s="102">
        <f ca="1">RANDBETWEEN(50000,200000)</f>
        <v>151138</v>
      </c>
      <c r="H2" s="16">
        <f ca="1">RANDBETWEEN($D2*0,$D2*0.03)</f>
        <v>0</v>
      </c>
      <c r="I2" s="102">
        <f ca="1">RANDBETWEEN(50000,200000)</f>
        <v>96041</v>
      </c>
    </row>
    <row r="3" spans="1:9" ht="17.399999999999999" x14ac:dyDescent="0.5">
      <c r="A3" s="106">
        <v>22</v>
      </c>
      <c r="B3" s="16">
        <v>0</v>
      </c>
      <c r="C3" s="95">
        <v>0</v>
      </c>
      <c r="D3" s="103">
        <f t="shared" ref="D3:D8" ca="1" si="0">RANDBETWEEN(20,500)</f>
        <v>277</v>
      </c>
      <c r="E3" s="104">
        <f t="shared" ref="E3:E8" ca="1" si="1">RANDBETWEEN(100000,2000000)</f>
        <v>633897</v>
      </c>
      <c r="F3" s="105">
        <f t="shared" ref="F3:F8" ca="1" si="2">RANDBETWEEN($D3*0,$D3*0.03)</f>
        <v>7</v>
      </c>
      <c r="G3" s="104">
        <f t="shared" ref="G3:G8" ca="1" si="3">RANDBETWEEN(50000,200000)</f>
        <v>187065</v>
      </c>
      <c r="H3" s="105">
        <f t="shared" ref="H3:H8" ca="1" si="4">RANDBETWEEN($D3*0,$D3*0.03)</f>
        <v>7</v>
      </c>
      <c r="I3" s="104">
        <f t="shared" ref="I3:I8" ca="1" si="5">RANDBETWEEN(50000,200000)</f>
        <v>102895</v>
      </c>
    </row>
    <row r="4" spans="1:9" ht="17.399999999999999" x14ac:dyDescent="0.5">
      <c r="A4" s="107">
        <v>40</v>
      </c>
      <c r="B4" s="16">
        <v>0</v>
      </c>
      <c r="C4" s="95">
        <v>0</v>
      </c>
      <c r="D4" s="97">
        <f t="shared" ca="1" si="0"/>
        <v>453</v>
      </c>
      <c r="E4" s="102">
        <f t="shared" ca="1" si="1"/>
        <v>1460015</v>
      </c>
      <c r="F4" s="16">
        <f t="shared" ca="1" si="2"/>
        <v>11</v>
      </c>
      <c r="G4" s="102">
        <f t="shared" ca="1" si="3"/>
        <v>156358</v>
      </c>
      <c r="H4" s="16">
        <f t="shared" ca="1" si="4"/>
        <v>7</v>
      </c>
      <c r="I4" s="102">
        <f t="shared" ca="1" si="5"/>
        <v>71695</v>
      </c>
    </row>
    <row r="5" spans="1:9" ht="18" thickBot="1" x14ac:dyDescent="0.55000000000000004">
      <c r="A5" s="107">
        <v>41</v>
      </c>
      <c r="B5" s="17">
        <v>0</v>
      </c>
      <c r="C5" s="96">
        <v>0</v>
      </c>
      <c r="D5" s="97">
        <f t="shared" ca="1" si="0"/>
        <v>423</v>
      </c>
      <c r="E5" s="102">
        <f t="shared" ca="1" si="1"/>
        <v>561825</v>
      </c>
      <c r="F5" s="16">
        <f t="shared" ca="1" si="2"/>
        <v>9</v>
      </c>
      <c r="G5" s="102">
        <f t="shared" ca="1" si="3"/>
        <v>77554</v>
      </c>
      <c r="H5" s="16">
        <f t="shared" ca="1" si="4"/>
        <v>7</v>
      </c>
      <c r="I5" s="102">
        <f t="shared" ca="1" si="5"/>
        <v>90463</v>
      </c>
    </row>
    <row r="6" spans="1:9" ht="17.399999999999999" x14ac:dyDescent="0.5">
      <c r="A6" s="107">
        <v>43</v>
      </c>
      <c r="D6" s="97">
        <f t="shared" ca="1" si="0"/>
        <v>51</v>
      </c>
      <c r="E6" s="102">
        <f t="shared" ca="1" si="1"/>
        <v>1257194</v>
      </c>
      <c r="F6" s="16">
        <f t="shared" ca="1" si="2"/>
        <v>0</v>
      </c>
      <c r="G6" s="102">
        <f t="shared" ca="1" si="3"/>
        <v>182126</v>
      </c>
      <c r="H6" s="16">
        <f t="shared" ca="1" si="4"/>
        <v>1</v>
      </c>
      <c r="I6" s="102">
        <f t="shared" ca="1" si="5"/>
        <v>58432</v>
      </c>
    </row>
    <row r="7" spans="1:9" ht="17.399999999999999" x14ac:dyDescent="0.5">
      <c r="A7" s="107">
        <v>45</v>
      </c>
      <c r="D7" s="97">
        <f t="shared" ca="1" si="0"/>
        <v>223</v>
      </c>
      <c r="E7" s="102">
        <f t="shared" ca="1" si="1"/>
        <v>249201</v>
      </c>
      <c r="F7" s="16">
        <f t="shared" ca="1" si="2"/>
        <v>2</v>
      </c>
      <c r="G7" s="102">
        <f t="shared" ca="1" si="3"/>
        <v>153088</v>
      </c>
      <c r="H7" s="16">
        <f t="shared" ca="1" si="4"/>
        <v>5</v>
      </c>
      <c r="I7" s="102">
        <f t="shared" ca="1" si="5"/>
        <v>148841</v>
      </c>
    </row>
    <row r="8" spans="1:9" ht="17.399999999999999" x14ac:dyDescent="0.5">
      <c r="A8" s="107">
        <v>47</v>
      </c>
      <c r="D8" s="97">
        <f t="shared" ca="1" si="0"/>
        <v>122</v>
      </c>
      <c r="E8" s="102">
        <f t="shared" ca="1" si="1"/>
        <v>1780762</v>
      </c>
      <c r="F8" s="16">
        <f t="shared" ca="1" si="2"/>
        <v>2</v>
      </c>
      <c r="G8" s="102">
        <f t="shared" ca="1" si="3"/>
        <v>171858</v>
      </c>
      <c r="H8" s="16">
        <f t="shared" ca="1" si="4"/>
        <v>1</v>
      </c>
      <c r="I8" s="102">
        <f t="shared" ca="1" si="5"/>
        <v>101550</v>
      </c>
    </row>
    <row r="10" spans="1:9" ht="17.399999999999999" x14ac:dyDescent="0.5">
      <c r="E10" s="41"/>
    </row>
  </sheetData>
  <sheetProtection algorithmName="SHA-512" hashValue="9cOEsZh47AG8FiLZ7fiF2OvInQxAIpFk9JhvsNn1HayPOv9GppTr2mtkiHVLQUpylWlBlH2uG7zZPvRW9ILEFw==" saltValue="9KxL8KNVjsMHXz0LgvGL2A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showGridLines="0" workbookViewId="0">
      <pane ySplit="1" topLeftCell="A2" activePane="bottomLeft" state="frozen"/>
      <selection activeCell="C15" sqref="C15"/>
      <selection pane="bottomLeft" activeCell="E9" sqref="E9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24.44140625" bestFit="1" customWidth="1"/>
    <col min="4" max="4" width="33.44140625" bestFit="1" customWidth="1"/>
    <col min="5" max="5" width="42.5546875" bestFit="1" customWidth="1"/>
  </cols>
  <sheetData>
    <row r="1" spans="1:5" ht="24" thickBot="1" x14ac:dyDescent="0.75">
      <c r="A1" s="52" t="s">
        <v>0</v>
      </c>
      <c r="B1" s="52" t="s">
        <v>1</v>
      </c>
      <c r="C1" s="52" t="s">
        <v>36</v>
      </c>
      <c r="D1" s="52" t="s">
        <v>72</v>
      </c>
      <c r="E1" s="52" t="s">
        <v>73</v>
      </c>
    </row>
    <row r="2" spans="1:5" ht="17.399999999999999" x14ac:dyDescent="0.5">
      <c r="A2" s="62">
        <v>45658</v>
      </c>
      <c r="B2" s="63" t="s">
        <v>4</v>
      </c>
      <c r="C2" s="18">
        <f ca="1">RANDBETWEEN(1000000,3000000)</f>
        <v>2404535</v>
      </c>
      <c r="D2" s="19">
        <f ca="1">RANDBETWEEN(1000,3000)</f>
        <v>2743</v>
      </c>
      <c r="E2" s="20">
        <f ca="1">RANDBETWEEN(20,100)</f>
        <v>21</v>
      </c>
    </row>
    <row r="3" spans="1:5" ht="17.399999999999999" x14ac:dyDescent="0.5">
      <c r="A3" s="64">
        <v>45689</v>
      </c>
      <c r="B3" s="65" t="s">
        <v>5</v>
      </c>
      <c r="C3" s="21">
        <f t="shared" ref="C3:C13" ca="1" si="0">RANDBETWEEN(1000000,3000000)</f>
        <v>1017182</v>
      </c>
      <c r="D3" s="22">
        <f t="shared" ref="D3:D13" ca="1" si="1">RANDBETWEEN(1000,3000)</f>
        <v>2501</v>
      </c>
      <c r="E3" s="23">
        <f t="shared" ref="E3:E13" ca="1" si="2">RANDBETWEEN(20,100)</f>
        <v>37</v>
      </c>
    </row>
    <row r="4" spans="1:5" ht="17.399999999999999" x14ac:dyDescent="0.5">
      <c r="A4" s="64">
        <v>45717</v>
      </c>
      <c r="B4" s="65" t="s">
        <v>6</v>
      </c>
      <c r="C4" s="21">
        <f t="shared" ca="1" si="0"/>
        <v>2574990</v>
      </c>
      <c r="D4" s="22">
        <f t="shared" ca="1" si="1"/>
        <v>1489</v>
      </c>
      <c r="E4" s="23">
        <f t="shared" ca="1" si="2"/>
        <v>57</v>
      </c>
    </row>
    <row r="5" spans="1:5" ht="17.399999999999999" x14ac:dyDescent="0.5">
      <c r="A5" s="64">
        <v>45748</v>
      </c>
      <c r="B5" s="65" t="s">
        <v>7</v>
      </c>
      <c r="C5" s="21">
        <f t="shared" ca="1" si="0"/>
        <v>2222094</v>
      </c>
      <c r="D5" s="22">
        <f t="shared" ca="1" si="1"/>
        <v>1170</v>
      </c>
      <c r="E5" s="23">
        <f t="shared" ca="1" si="2"/>
        <v>90</v>
      </c>
    </row>
    <row r="6" spans="1:5" ht="17.399999999999999" x14ac:dyDescent="0.5">
      <c r="A6" s="64">
        <v>45778</v>
      </c>
      <c r="B6" s="65" t="s">
        <v>8</v>
      </c>
      <c r="C6" s="21">
        <f t="shared" ca="1" si="0"/>
        <v>2182707</v>
      </c>
      <c r="D6" s="22">
        <f t="shared" ca="1" si="1"/>
        <v>2874</v>
      </c>
      <c r="E6" s="23">
        <f t="shared" ca="1" si="2"/>
        <v>58</v>
      </c>
    </row>
    <row r="7" spans="1:5" ht="17.399999999999999" x14ac:dyDescent="0.5">
      <c r="A7" s="64">
        <v>45809</v>
      </c>
      <c r="B7" s="65" t="s">
        <v>9</v>
      </c>
      <c r="C7" s="21">
        <f t="shared" ca="1" si="0"/>
        <v>1308508</v>
      </c>
      <c r="D7" s="22">
        <f t="shared" ca="1" si="1"/>
        <v>2645</v>
      </c>
      <c r="E7" s="23">
        <f t="shared" ca="1" si="2"/>
        <v>67</v>
      </c>
    </row>
    <row r="8" spans="1:5" ht="17.399999999999999" x14ac:dyDescent="0.5">
      <c r="A8" s="64">
        <v>45839</v>
      </c>
      <c r="B8" s="65" t="s">
        <v>10</v>
      </c>
      <c r="C8" s="21">
        <f t="shared" ca="1" si="0"/>
        <v>1013678</v>
      </c>
      <c r="D8" s="22">
        <f t="shared" ca="1" si="1"/>
        <v>1527</v>
      </c>
      <c r="E8" s="23">
        <f t="shared" ca="1" si="2"/>
        <v>70</v>
      </c>
    </row>
    <row r="9" spans="1:5" ht="17.399999999999999" x14ac:dyDescent="0.5">
      <c r="A9" s="64">
        <v>45870</v>
      </c>
      <c r="B9" s="65" t="s">
        <v>11</v>
      </c>
      <c r="C9" s="21">
        <f t="shared" ca="1" si="0"/>
        <v>1671987</v>
      </c>
      <c r="D9" s="22">
        <f t="shared" ca="1" si="1"/>
        <v>2327</v>
      </c>
      <c r="E9" s="23">
        <f t="shared" ca="1" si="2"/>
        <v>70</v>
      </c>
    </row>
    <row r="10" spans="1:5" ht="17.399999999999999" x14ac:dyDescent="0.5">
      <c r="A10" s="64">
        <v>45901</v>
      </c>
      <c r="B10" s="65" t="s">
        <v>12</v>
      </c>
      <c r="C10" s="21">
        <f t="shared" ca="1" si="0"/>
        <v>2903196</v>
      </c>
      <c r="D10" s="91">
        <f t="shared" ca="1" si="1"/>
        <v>2653</v>
      </c>
      <c r="E10" s="23">
        <f t="shared" ca="1" si="2"/>
        <v>23</v>
      </c>
    </row>
    <row r="11" spans="1:5" ht="17.399999999999999" x14ac:dyDescent="0.5">
      <c r="A11" s="64">
        <v>45931</v>
      </c>
      <c r="B11" s="65" t="s">
        <v>13</v>
      </c>
      <c r="C11" s="21">
        <f t="shared" ca="1" si="0"/>
        <v>1711964</v>
      </c>
      <c r="D11" s="91">
        <f t="shared" ca="1" si="1"/>
        <v>2307</v>
      </c>
      <c r="E11" s="23">
        <f t="shared" ca="1" si="2"/>
        <v>31</v>
      </c>
    </row>
    <row r="12" spans="1:5" ht="17.399999999999999" x14ac:dyDescent="0.5">
      <c r="A12" s="64">
        <v>45962</v>
      </c>
      <c r="B12" s="65" t="s">
        <v>14</v>
      </c>
      <c r="C12" s="21">
        <f t="shared" ca="1" si="0"/>
        <v>1260196</v>
      </c>
      <c r="D12" s="91">
        <f t="shared" ca="1" si="1"/>
        <v>1697</v>
      </c>
      <c r="E12" s="23">
        <f t="shared" ca="1" si="2"/>
        <v>63</v>
      </c>
    </row>
    <row r="13" spans="1:5" ht="18" thickBot="1" x14ac:dyDescent="0.55000000000000004">
      <c r="A13" s="66">
        <v>45992</v>
      </c>
      <c r="B13" s="67" t="s">
        <v>15</v>
      </c>
      <c r="C13" s="38">
        <f t="shared" ca="1" si="0"/>
        <v>2450655</v>
      </c>
      <c r="D13" s="24">
        <f t="shared" ca="1" si="1"/>
        <v>1938</v>
      </c>
      <c r="E13" s="25">
        <f t="shared" ca="1" si="2"/>
        <v>47</v>
      </c>
    </row>
  </sheetData>
  <sheetProtection algorithmName="SHA-512" hashValue="2Kl+X3Bm4C4myU6UGkqOEgyv61oIa/1Sob+Uz8XDFjLgNrtjnfc166AHJvW1rD2KgQEorOlpz65/J7rPANeHNg==" saltValue="TwmsCA9/3lNT7kdvbdEW+Q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8"/>
  <sheetViews>
    <sheetView showGridLines="0" zoomScaleNormal="100" workbookViewId="0">
      <pane ySplit="1" topLeftCell="A2" activePane="bottomLeft" state="frozen"/>
      <selection activeCell="C15" sqref="C15"/>
      <selection pane="bottomLeft" activeCell="D12" sqref="D12"/>
    </sheetView>
  </sheetViews>
  <sheetFormatPr defaultColWidth="15.5546875" defaultRowHeight="14.4" x14ac:dyDescent="0.3"/>
  <cols>
    <col min="1" max="1" width="13.5546875" customWidth="1"/>
    <col min="2" max="2" width="52.5546875" bestFit="1" customWidth="1"/>
    <col min="3" max="3" width="16.5546875" customWidth="1"/>
    <col min="4" max="4" width="27.5546875" customWidth="1"/>
    <col min="5" max="5" width="25.5546875" bestFit="1" customWidth="1"/>
    <col min="6" max="6" width="19.44140625" bestFit="1" customWidth="1"/>
    <col min="7" max="7" width="31.44140625" bestFit="1" customWidth="1"/>
    <col min="8" max="8" width="16.44140625" customWidth="1"/>
  </cols>
  <sheetData>
    <row r="1" spans="1:9" ht="24" thickBot="1" x14ac:dyDescent="0.75">
      <c r="A1" s="68" t="s">
        <v>35</v>
      </c>
      <c r="B1" s="69" t="s">
        <v>45</v>
      </c>
      <c r="C1" s="69" t="s">
        <v>74</v>
      </c>
      <c r="D1" s="69" t="s">
        <v>75</v>
      </c>
      <c r="E1" s="69" t="s">
        <v>76</v>
      </c>
      <c r="F1" s="69" t="s">
        <v>77</v>
      </c>
      <c r="G1" s="69" t="s">
        <v>78</v>
      </c>
      <c r="H1" s="69" t="s">
        <v>79</v>
      </c>
    </row>
    <row r="2" spans="1:9" ht="17.399999999999999" x14ac:dyDescent="0.5">
      <c r="A2" s="70" t="s">
        <v>80</v>
      </c>
      <c r="B2" s="71" t="s">
        <v>81</v>
      </c>
      <c r="C2" s="26" t="s">
        <v>82</v>
      </c>
      <c r="D2" s="26">
        <f ca="1">RANDBETWEEN(25,500)</f>
        <v>332</v>
      </c>
      <c r="E2" s="27">
        <f ca="1">RANDBETWEEN($F2*0.8,$F2)</f>
        <v>279</v>
      </c>
      <c r="F2" s="27">
        <f t="shared" ref="F2:F20" ca="1" si="0">RANDBETWEEN($D2*0.8,D2)</f>
        <v>285</v>
      </c>
      <c r="G2" s="27">
        <f ca="1">RANDBETWEEN($F2*0.8,$F2)</f>
        <v>258</v>
      </c>
      <c r="H2" s="27">
        <f ca="1">RANDBETWEEN($G2*0.8,$G2)</f>
        <v>218</v>
      </c>
    </row>
    <row r="3" spans="1:9" ht="17.399999999999999" x14ac:dyDescent="0.5">
      <c r="A3" s="72" t="s">
        <v>83</v>
      </c>
      <c r="B3" s="44" t="s">
        <v>84</v>
      </c>
      <c r="C3" s="28" t="s">
        <v>82</v>
      </c>
      <c r="D3" s="28">
        <f t="shared" ref="D3:D20" ca="1" si="1">RANDBETWEEN(25,500)</f>
        <v>331</v>
      </c>
      <c r="E3" s="29">
        <f t="shared" ref="E3:E20" ca="1" si="2">RANDBETWEEN($F3*0.8,$F3)</f>
        <v>253</v>
      </c>
      <c r="F3" s="29">
        <f t="shared" ca="1" si="0"/>
        <v>299</v>
      </c>
      <c r="G3" s="29">
        <f t="shared" ref="G3:G20" ca="1" si="3">RANDBETWEEN($F3*0.8,$F3)</f>
        <v>296</v>
      </c>
      <c r="H3" s="29">
        <f t="shared" ref="H3:H20" ca="1" si="4">RANDBETWEEN($G3*0.8,$G3)</f>
        <v>291</v>
      </c>
    </row>
    <row r="4" spans="1:9" ht="17.399999999999999" x14ac:dyDescent="0.5">
      <c r="A4" s="72" t="s">
        <v>85</v>
      </c>
      <c r="B4" s="44" t="s">
        <v>86</v>
      </c>
      <c r="C4" s="28" t="s">
        <v>87</v>
      </c>
      <c r="D4" s="28">
        <f t="shared" ca="1" si="1"/>
        <v>433</v>
      </c>
      <c r="E4" s="29">
        <f t="shared" ca="1" si="2"/>
        <v>287</v>
      </c>
      <c r="F4" s="29">
        <f t="shared" ca="1" si="0"/>
        <v>358</v>
      </c>
      <c r="G4" s="29">
        <f t="shared" ca="1" si="3"/>
        <v>334</v>
      </c>
      <c r="H4" s="29">
        <f t="shared" ca="1" si="4"/>
        <v>334</v>
      </c>
    </row>
    <row r="5" spans="1:9" ht="17.399999999999999" x14ac:dyDescent="0.5">
      <c r="A5" s="72" t="s">
        <v>88</v>
      </c>
      <c r="B5" s="44" t="s">
        <v>89</v>
      </c>
      <c r="C5" s="28" t="s">
        <v>87</v>
      </c>
      <c r="D5" s="28">
        <f t="shared" ca="1" si="1"/>
        <v>311</v>
      </c>
      <c r="E5" s="29">
        <f t="shared" ca="1" si="2"/>
        <v>251</v>
      </c>
      <c r="F5" s="29">
        <f t="shared" ca="1" si="0"/>
        <v>271</v>
      </c>
      <c r="G5" s="29">
        <f t="shared" ca="1" si="3"/>
        <v>239</v>
      </c>
      <c r="H5" s="29">
        <f t="shared" ca="1" si="4"/>
        <v>210</v>
      </c>
    </row>
    <row r="6" spans="1:9" ht="17.399999999999999" x14ac:dyDescent="0.5">
      <c r="A6" s="72" t="s">
        <v>90</v>
      </c>
      <c r="B6" s="44" t="s">
        <v>91</v>
      </c>
      <c r="C6" s="28" t="s">
        <v>92</v>
      </c>
      <c r="D6" s="28">
        <f t="shared" ca="1" si="1"/>
        <v>82</v>
      </c>
      <c r="E6" s="29">
        <f t="shared" ca="1" si="2"/>
        <v>62</v>
      </c>
      <c r="F6" s="29">
        <f t="shared" ca="1" si="0"/>
        <v>68</v>
      </c>
      <c r="G6" s="29">
        <f t="shared" ca="1" si="3"/>
        <v>60</v>
      </c>
      <c r="H6" s="29">
        <f t="shared" ca="1" si="4"/>
        <v>59</v>
      </c>
    </row>
    <row r="7" spans="1:9" ht="17.399999999999999" x14ac:dyDescent="0.5">
      <c r="A7" s="72" t="s">
        <v>93</v>
      </c>
      <c r="B7" s="44" t="s">
        <v>94</v>
      </c>
      <c r="C7" s="28" t="s">
        <v>82</v>
      </c>
      <c r="D7" s="28">
        <f t="shared" ca="1" si="1"/>
        <v>430</v>
      </c>
      <c r="E7" s="29">
        <f t="shared" ca="1" si="2"/>
        <v>333</v>
      </c>
      <c r="F7" s="29">
        <f t="shared" ca="1" si="0"/>
        <v>389</v>
      </c>
      <c r="G7" s="29">
        <f t="shared" ca="1" si="3"/>
        <v>360</v>
      </c>
      <c r="H7" s="29">
        <f t="shared" ca="1" si="4"/>
        <v>352</v>
      </c>
    </row>
    <row r="8" spans="1:9" ht="17.399999999999999" x14ac:dyDescent="0.5">
      <c r="A8" s="72" t="s">
        <v>95</v>
      </c>
      <c r="B8" s="44" t="s">
        <v>96</v>
      </c>
      <c r="C8" s="28" t="s">
        <v>82</v>
      </c>
      <c r="D8" s="28">
        <f t="shared" ca="1" si="1"/>
        <v>89</v>
      </c>
      <c r="E8" s="29">
        <f t="shared" ca="1" si="2"/>
        <v>79</v>
      </c>
      <c r="F8" s="29">
        <f t="shared" ca="1" si="0"/>
        <v>85</v>
      </c>
      <c r="G8" s="29">
        <f t="shared" ca="1" si="3"/>
        <v>69</v>
      </c>
      <c r="H8" s="29">
        <f t="shared" ca="1" si="4"/>
        <v>60</v>
      </c>
    </row>
    <row r="9" spans="1:9" ht="17.399999999999999" x14ac:dyDescent="0.5">
      <c r="A9" s="72" t="s">
        <v>97</v>
      </c>
      <c r="B9" s="44" t="s">
        <v>98</v>
      </c>
      <c r="C9" s="28" t="s">
        <v>92</v>
      </c>
      <c r="D9" s="28">
        <f t="shared" ca="1" si="1"/>
        <v>361</v>
      </c>
      <c r="E9" s="29">
        <f t="shared" ca="1" si="2"/>
        <v>336</v>
      </c>
      <c r="F9" s="29">
        <f t="shared" ca="1" si="0"/>
        <v>351</v>
      </c>
      <c r="G9" s="29">
        <f t="shared" ca="1" si="3"/>
        <v>337</v>
      </c>
      <c r="H9" s="29">
        <f t="shared" ca="1" si="4"/>
        <v>293</v>
      </c>
      <c r="I9" s="74"/>
    </row>
    <row r="10" spans="1:9" ht="17.399999999999999" x14ac:dyDescent="0.5">
      <c r="A10" s="72" t="s">
        <v>99</v>
      </c>
      <c r="B10" s="44" t="s">
        <v>100</v>
      </c>
      <c r="C10" s="28" t="s">
        <v>92</v>
      </c>
      <c r="D10" s="28">
        <f t="shared" ca="1" si="1"/>
        <v>252</v>
      </c>
      <c r="E10" s="30">
        <f t="shared" ca="1" si="2"/>
        <v>209</v>
      </c>
      <c r="F10" s="29">
        <f t="shared" ca="1" si="0"/>
        <v>247</v>
      </c>
      <c r="G10" s="29">
        <f t="shared" ca="1" si="3"/>
        <v>236</v>
      </c>
      <c r="H10" s="29">
        <f t="shared" ca="1" si="4"/>
        <v>192</v>
      </c>
      <c r="I10" s="74"/>
    </row>
    <row r="11" spans="1:9" ht="17.399999999999999" x14ac:dyDescent="0.5">
      <c r="A11" s="72" t="s">
        <v>101</v>
      </c>
      <c r="B11" s="44" t="s">
        <v>102</v>
      </c>
      <c r="C11" s="28" t="s">
        <v>82</v>
      </c>
      <c r="D11" s="28">
        <f t="shared" ca="1" si="1"/>
        <v>374</v>
      </c>
      <c r="E11" s="29">
        <f t="shared" ca="1" si="2"/>
        <v>252</v>
      </c>
      <c r="F11" s="29">
        <f t="shared" ca="1" si="0"/>
        <v>314</v>
      </c>
      <c r="G11" s="29">
        <f t="shared" ca="1" si="3"/>
        <v>306</v>
      </c>
      <c r="H11" s="29">
        <f t="shared" ca="1" si="4"/>
        <v>306</v>
      </c>
      <c r="I11" s="74"/>
    </row>
    <row r="12" spans="1:9" ht="17.399999999999999" x14ac:dyDescent="0.5">
      <c r="A12" s="72" t="s">
        <v>103</v>
      </c>
      <c r="B12" s="44" t="s">
        <v>104</v>
      </c>
      <c r="C12" s="28" t="s">
        <v>105</v>
      </c>
      <c r="D12" s="28">
        <f t="shared" ca="1" si="1"/>
        <v>163</v>
      </c>
      <c r="E12" s="29">
        <f t="shared" ca="1" si="2"/>
        <v>139</v>
      </c>
      <c r="F12" s="29">
        <f t="shared" ca="1" si="0"/>
        <v>147</v>
      </c>
      <c r="G12" s="29">
        <f t="shared" ca="1" si="3"/>
        <v>143</v>
      </c>
      <c r="H12" s="29">
        <f t="shared" ca="1" si="4"/>
        <v>126</v>
      </c>
      <c r="I12" s="74"/>
    </row>
    <row r="13" spans="1:9" ht="17.399999999999999" x14ac:dyDescent="0.5">
      <c r="A13" s="72" t="s">
        <v>106</v>
      </c>
      <c r="B13" s="44" t="s">
        <v>107</v>
      </c>
      <c r="C13" s="28" t="s">
        <v>87</v>
      </c>
      <c r="D13" s="28">
        <f t="shared" ca="1" si="1"/>
        <v>131</v>
      </c>
      <c r="E13" s="29">
        <f t="shared" ca="1" si="2"/>
        <v>96</v>
      </c>
      <c r="F13" s="29">
        <f t="shared" ca="1" si="0"/>
        <v>111</v>
      </c>
      <c r="G13" s="29">
        <f t="shared" ca="1" si="3"/>
        <v>104</v>
      </c>
      <c r="H13" s="29">
        <f t="shared" ca="1" si="4"/>
        <v>102</v>
      </c>
      <c r="I13" s="74"/>
    </row>
    <row r="14" spans="1:9" ht="17.399999999999999" x14ac:dyDescent="0.5">
      <c r="A14" s="73" t="s">
        <v>108</v>
      </c>
      <c r="B14" s="44" t="s">
        <v>109</v>
      </c>
      <c r="C14" s="29" t="s">
        <v>87</v>
      </c>
      <c r="D14" s="29">
        <f t="shared" ca="1" si="1"/>
        <v>363</v>
      </c>
      <c r="E14" s="29">
        <f t="shared" ca="1" si="2"/>
        <v>314</v>
      </c>
      <c r="F14" s="29">
        <f t="shared" ca="1" si="0"/>
        <v>327</v>
      </c>
      <c r="G14" s="29">
        <f t="shared" ca="1" si="3"/>
        <v>291</v>
      </c>
      <c r="H14" s="29">
        <f t="shared" ca="1" si="4"/>
        <v>261</v>
      </c>
      <c r="I14" s="74"/>
    </row>
    <row r="15" spans="1:9" ht="17.399999999999999" x14ac:dyDescent="0.5">
      <c r="A15" s="73" t="s">
        <v>110</v>
      </c>
      <c r="B15" s="44" t="s">
        <v>111</v>
      </c>
      <c r="C15" s="29" t="s">
        <v>92</v>
      </c>
      <c r="D15" s="29">
        <f t="shared" ca="1" si="1"/>
        <v>253</v>
      </c>
      <c r="E15" s="29">
        <f t="shared" ca="1" si="2"/>
        <v>188</v>
      </c>
      <c r="F15" s="29">
        <f t="shared" ca="1" si="0"/>
        <v>208</v>
      </c>
      <c r="G15" s="29">
        <f t="shared" ca="1" si="3"/>
        <v>170</v>
      </c>
      <c r="H15" s="29">
        <f t="shared" ca="1" si="4"/>
        <v>142</v>
      </c>
      <c r="I15" s="74"/>
    </row>
    <row r="16" spans="1:9" ht="17.399999999999999" x14ac:dyDescent="0.5">
      <c r="A16" s="73" t="s">
        <v>112</v>
      </c>
      <c r="B16" s="44" t="s">
        <v>113</v>
      </c>
      <c r="C16" s="29" t="s">
        <v>92</v>
      </c>
      <c r="D16" s="29">
        <f t="shared" ca="1" si="1"/>
        <v>304</v>
      </c>
      <c r="E16" s="29">
        <f t="shared" ca="1" si="2"/>
        <v>232</v>
      </c>
      <c r="F16" s="29">
        <f t="shared" ca="1" si="0"/>
        <v>281</v>
      </c>
      <c r="G16" s="29">
        <f t="shared" ca="1" si="3"/>
        <v>265</v>
      </c>
      <c r="H16" s="29">
        <f t="shared" ca="1" si="4"/>
        <v>212</v>
      </c>
      <c r="I16" s="74"/>
    </row>
    <row r="17" spans="1:9" ht="17.399999999999999" x14ac:dyDescent="0.5">
      <c r="A17" s="73" t="s">
        <v>114</v>
      </c>
      <c r="B17" s="44" t="s">
        <v>115</v>
      </c>
      <c r="C17" s="29" t="s">
        <v>82</v>
      </c>
      <c r="D17" s="29">
        <f t="shared" ca="1" si="1"/>
        <v>140</v>
      </c>
      <c r="E17" s="29">
        <f t="shared" ca="1" si="2"/>
        <v>136</v>
      </c>
      <c r="F17" s="29">
        <f t="shared" ca="1" si="0"/>
        <v>139</v>
      </c>
      <c r="G17" s="29">
        <f t="shared" ca="1" si="3"/>
        <v>122</v>
      </c>
      <c r="H17" s="29">
        <f t="shared" ca="1" si="4"/>
        <v>108</v>
      </c>
      <c r="I17" s="74"/>
    </row>
    <row r="18" spans="1:9" ht="17.399999999999999" x14ac:dyDescent="0.5">
      <c r="A18" s="73" t="s">
        <v>116</v>
      </c>
      <c r="B18" s="44" t="s">
        <v>117</v>
      </c>
      <c r="C18" s="29" t="s">
        <v>105</v>
      </c>
      <c r="D18" s="29">
        <f t="shared" ca="1" si="1"/>
        <v>139</v>
      </c>
      <c r="E18" s="29">
        <f t="shared" ca="1" si="2"/>
        <v>95</v>
      </c>
      <c r="F18" s="29">
        <f t="shared" ca="1" si="0"/>
        <v>113</v>
      </c>
      <c r="G18" s="29">
        <f t="shared" ca="1" si="3"/>
        <v>98</v>
      </c>
      <c r="H18" s="29">
        <f t="shared" ca="1" si="4"/>
        <v>93</v>
      </c>
      <c r="I18" s="74"/>
    </row>
    <row r="19" spans="1:9" ht="17.399999999999999" x14ac:dyDescent="0.5">
      <c r="A19" s="73" t="s">
        <v>118</v>
      </c>
      <c r="B19" s="44" t="s">
        <v>119</v>
      </c>
      <c r="C19" s="29" t="s">
        <v>105</v>
      </c>
      <c r="D19" s="29">
        <f t="shared" ca="1" si="1"/>
        <v>390</v>
      </c>
      <c r="E19" s="29">
        <f t="shared" ca="1" si="2"/>
        <v>312</v>
      </c>
      <c r="F19" s="29">
        <f t="shared" ca="1" si="0"/>
        <v>357</v>
      </c>
      <c r="G19" s="29">
        <f t="shared" ca="1" si="3"/>
        <v>335</v>
      </c>
      <c r="H19" s="29">
        <f t="shared" ca="1" si="4"/>
        <v>283</v>
      </c>
      <c r="I19" s="74"/>
    </row>
    <row r="20" spans="1:9" ht="18" thickBot="1" x14ac:dyDescent="0.55000000000000004">
      <c r="A20" s="75" t="s">
        <v>120</v>
      </c>
      <c r="B20" s="46" t="s">
        <v>121</v>
      </c>
      <c r="C20" s="31" t="s">
        <v>105</v>
      </c>
      <c r="D20" s="31">
        <f t="shared" ca="1" si="1"/>
        <v>370</v>
      </c>
      <c r="E20" s="31">
        <f t="shared" ca="1" si="2"/>
        <v>317</v>
      </c>
      <c r="F20" s="31">
        <f t="shared" ca="1" si="0"/>
        <v>320</v>
      </c>
      <c r="G20" s="31">
        <f t="shared" ca="1" si="3"/>
        <v>282</v>
      </c>
      <c r="H20" s="31">
        <f t="shared" ca="1" si="4"/>
        <v>261</v>
      </c>
      <c r="I20" s="74"/>
    </row>
    <row r="21" spans="1:9" x14ac:dyDescent="0.3">
      <c r="I21" s="74"/>
    </row>
    <row r="22" spans="1:9" x14ac:dyDescent="0.3">
      <c r="I22" s="74"/>
    </row>
    <row r="23" spans="1:9" x14ac:dyDescent="0.3">
      <c r="I23" s="74"/>
    </row>
    <row r="24" spans="1:9" x14ac:dyDescent="0.3">
      <c r="I24" s="74"/>
    </row>
    <row r="25" spans="1:9" x14ac:dyDescent="0.3">
      <c r="I25" s="74"/>
    </row>
    <row r="26" spans="1:9" x14ac:dyDescent="0.3">
      <c r="I26" s="74"/>
    </row>
    <row r="27" spans="1:9" x14ac:dyDescent="0.3">
      <c r="I27" s="74"/>
    </row>
    <row r="28" spans="1:9" x14ac:dyDescent="0.3">
      <c r="I28" s="74"/>
    </row>
  </sheetData>
  <sheetProtection algorithmName="SHA-512" hashValue="D+0ZJKwZGbcJ8fcdY2d7EqKWyM7tov8JutR6dGI68vCnUkBvkQSkK2RJ6jKqZxeEzGdhACWsf/e9rUg+q1Lm8Q==" saltValue="0zyoT9q5sYumSy73V+Y2t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"/>
  <sheetViews>
    <sheetView showGridLines="0" workbookViewId="0">
      <pane ySplit="1" topLeftCell="A2" activePane="bottomLeft" state="frozen"/>
      <selection activeCell="C15" sqref="C15"/>
      <selection pane="bottomLeft" activeCell="C2" sqref="C2"/>
    </sheetView>
  </sheetViews>
  <sheetFormatPr defaultColWidth="8.5546875" defaultRowHeight="14.4" x14ac:dyDescent="0.3"/>
  <cols>
    <col min="1" max="1" width="22.44140625" bestFit="1" customWidth="1"/>
    <col min="2" max="2" width="23.5546875" customWidth="1"/>
    <col min="3" max="3" width="29.44140625" bestFit="1" customWidth="1"/>
    <col min="4" max="4" width="34.5546875" customWidth="1"/>
    <col min="5" max="5" width="47.5546875" customWidth="1"/>
    <col min="6" max="6" width="20.5546875" customWidth="1"/>
    <col min="7" max="7" width="19.44140625" customWidth="1"/>
  </cols>
  <sheetData>
    <row r="1" spans="1:7" ht="24" thickBot="1" x14ac:dyDescent="0.35">
      <c r="A1" s="42" t="s">
        <v>122</v>
      </c>
      <c r="B1" s="42" t="s">
        <v>123</v>
      </c>
      <c r="C1" s="42" t="s">
        <v>124</v>
      </c>
      <c r="D1" s="42" t="s">
        <v>36</v>
      </c>
      <c r="E1" s="42" t="s">
        <v>125</v>
      </c>
      <c r="F1" s="76" t="s">
        <v>126</v>
      </c>
      <c r="G1" s="77" t="s">
        <v>127</v>
      </c>
    </row>
    <row r="2" spans="1:7" ht="18" thickBot="1" x14ac:dyDescent="0.55000000000000004">
      <c r="A2" s="78" t="s">
        <v>128</v>
      </c>
      <c r="B2" s="7">
        <v>1</v>
      </c>
      <c r="C2" s="7">
        <v>1135</v>
      </c>
      <c r="D2" s="32">
        <v>47736475.520000003</v>
      </c>
      <c r="E2" s="33">
        <f>C2/$F$2</f>
        <v>0.29923543369364619</v>
      </c>
      <c r="F2" s="34">
        <f>SUM(C2:C6)</f>
        <v>3793</v>
      </c>
      <c r="G2" s="35">
        <f>SUM(D2:D6)</f>
        <v>68727230.730000004</v>
      </c>
    </row>
    <row r="3" spans="1:7" ht="17.399999999999999" x14ac:dyDescent="0.5">
      <c r="A3" s="79" t="s">
        <v>129</v>
      </c>
      <c r="B3" s="5">
        <v>2</v>
      </c>
      <c r="C3" s="5">
        <v>248</v>
      </c>
      <c r="D3" s="10">
        <v>6104444.71</v>
      </c>
      <c r="E3" s="12">
        <f t="shared" ref="E3:E6" si="0">C3/$F$2</f>
        <v>6.5383601370946481E-2</v>
      </c>
      <c r="F3" s="80"/>
      <c r="G3" s="41"/>
    </row>
    <row r="4" spans="1:7" ht="17.399999999999999" x14ac:dyDescent="0.5">
      <c r="A4" s="79" t="s">
        <v>130</v>
      </c>
      <c r="B4" s="5">
        <v>3</v>
      </c>
      <c r="C4" s="5">
        <v>327</v>
      </c>
      <c r="D4" s="10">
        <v>2509308.5499999998</v>
      </c>
      <c r="E4" s="12">
        <f t="shared" si="0"/>
        <v>8.6211442130239915E-2</v>
      </c>
      <c r="F4" s="80"/>
      <c r="G4" s="41"/>
    </row>
    <row r="5" spans="1:7" ht="17.399999999999999" x14ac:dyDescent="0.5">
      <c r="A5" s="79" t="s">
        <v>131</v>
      </c>
      <c r="B5" s="5">
        <v>4</v>
      </c>
      <c r="C5" s="5">
        <v>118</v>
      </c>
      <c r="D5" s="10">
        <v>1166424.06</v>
      </c>
      <c r="E5" s="12">
        <f t="shared" si="0"/>
        <v>3.11099393619826E-2</v>
      </c>
      <c r="F5" s="80"/>
      <c r="G5" s="41"/>
    </row>
    <row r="6" spans="1:7" ht="18" thickBot="1" x14ac:dyDescent="0.55000000000000004">
      <c r="A6" s="81" t="s">
        <v>132</v>
      </c>
      <c r="B6" s="6">
        <v>5</v>
      </c>
      <c r="C6" s="6">
        <v>1965</v>
      </c>
      <c r="D6" s="11">
        <v>11210577.890000001</v>
      </c>
      <c r="E6" s="13">
        <f t="shared" si="0"/>
        <v>0.51805958344318481</v>
      </c>
      <c r="F6" s="80"/>
      <c r="G6" s="41"/>
    </row>
    <row r="10" spans="1:7" ht="17.399999999999999" x14ac:dyDescent="0.5">
      <c r="E10" s="41"/>
    </row>
  </sheetData>
  <sheetProtection algorithmName="SHA-512" hashValue="d2SjAAXeRPTLa1LyqeqYiPeDZQWRG3hYxGcGbSKMJig6jmHj0t7jw5+he7r2f74r/MIcRyAwUpWcdsRY/b9f0A==" saltValue="ksst+ASk4YTFbHXLctasD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"/>
  <sheetViews>
    <sheetView showGridLines="0" tabSelected="1" workbookViewId="0">
      <pane ySplit="1" topLeftCell="A2" activePane="bottomLeft" state="frozen"/>
      <selection activeCell="C15" sqref="C15"/>
      <selection pane="bottomLeft" activeCell="D5" sqref="D5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23.5546875" customWidth="1"/>
    <col min="4" max="4" width="21.5546875" customWidth="1"/>
    <col min="5" max="5" width="27.44140625" bestFit="1" customWidth="1"/>
    <col min="6" max="6" width="24.5546875" customWidth="1"/>
  </cols>
  <sheetData>
    <row r="1" spans="1:6" ht="24" thickBot="1" x14ac:dyDescent="0.75">
      <c r="A1" s="52" t="s">
        <v>0</v>
      </c>
      <c r="B1" s="52" t="s">
        <v>1</v>
      </c>
      <c r="C1" s="52" t="s">
        <v>133</v>
      </c>
      <c r="D1" s="52" t="s">
        <v>134</v>
      </c>
      <c r="E1" s="52" t="s">
        <v>135</v>
      </c>
      <c r="F1" s="52" t="s">
        <v>136</v>
      </c>
    </row>
    <row r="2" spans="1:6" ht="18" thickBot="1" x14ac:dyDescent="0.55000000000000004">
      <c r="A2" s="57">
        <v>45658</v>
      </c>
      <c r="B2" s="82" t="s">
        <v>4</v>
      </c>
      <c r="C2" s="98">
        <f t="array" ref="C2:C13">TRANSPOSE('[1]Estoque GeralxCorporativo'!$C$23:$N$23)</f>
        <v>3880968.43</v>
      </c>
      <c r="D2" s="99">
        <v>5621176.4900000002</v>
      </c>
      <c r="E2" s="98">
        <f t="array" ref="E2:E13">TRANSPOSE('[1]Estoque GeralxCorporativo'!$C$12:$N$12)</f>
        <v>15310440.810000001</v>
      </c>
      <c r="F2" s="98">
        <f t="array" ref="F2:F13">TRANSPOSE('[1]Estoque GeralxCorporativo'!$C$24:$N$24)</f>
        <v>17156601.149999999</v>
      </c>
    </row>
    <row r="3" spans="1:6" ht="18" thickBot="1" x14ac:dyDescent="0.55000000000000004">
      <c r="A3" s="57">
        <v>45689</v>
      </c>
      <c r="B3" s="44" t="s">
        <v>5</v>
      </c>
      <c r="C3" s="100">
        <v>3274896.5</v>
      </c>
      <c r="D3" s="101">
        <v>5885632.3599999994</v>
      </c>
      <c r="E3" s="100">
        <v>13856284.890000001</v>
      </c>
      <c r="F3" s="100">
        <v>15851702.08</v>
      </c>
    </row>
    <row r="4" spans="1:6" ht="18" thickBot="1" x14ac:dyDescent="0.55000000000000004">
      <c r="A4" s="57">
        <v>45717</v>
      </c>
      <c r="B4" s="44" t="s">
        <v>6</v>
      </c>
      <c r="C4" s="100">
        <v>2077475.19</v>
      </c>
      <c r="D4" s="100">
        <v>6105118.6899999995</v>
      </c>
      <c r="E4" s="100">
        <v>12622315.9</v>
      </c>
      <c r="F4" s="100">
        <v>14676141.880000001</v>
      </c>
    </row>
    <row r="5" spans="1:6" ht="18" thickBot="1" x14ac:dyDescent="0.55000000000000004">
      <c r="A5" s="57">
        <v>45748</v>
      </c>
      <c r="B5" s="44" t="s">
        <v>7</v>
      </c>
      <c r="C5" s="100">
        <v>2699588.71</v>
      </c>
      <c r="D5" s="100">
        <v>6135259.9199999999</v>
      </c>
      <c r="E5" s="100">
        <v>12260430.02</v>
      </c>
      <c r="F5" s="100">
        <v>13586200.609999999</v>
      </c>
    </row>
    <row r="6" spans="1:6" ht="18" thickBot="1" x14ac:dyDescent="0.55000000000000004">
      <c r="A6" s="57">
        <v>45778</v>
      </c>
      <c r="B6" s="44" t="s">
        <v>8</v>
      </c>
      <c r="C6" s="100">
        <v>1434842.4</v>
      </c>
      <c r="D6" s="100">
        <v>5510105.9000000004</v>
      </c>
      <c r="E6" s="100">
        <v>11312325.380000001</v>
      </c>
      <c r="F6" s="100">
        <v>11426299.34</v>
      </c>
    </row>
    <row r="7" spans="1:6" ht="18" thickBot="1" x14ac:dyDescent="0.55000000000000004">
      <c r="A7" s="57">
        <v>45809</v>
      </c>
      <c r="B7" s="44" t="s">
        <v>9</v>
      </c>
      <c r="C7" s="100">
        <v>2990945</v>
      </c>
      <c r="D7" s="100">
        <v>5551884.0899999999</v>
      </c>
      <c r="E7" s="100">
        <v>8165881</v>
      </c>
      <c r="F7" s="100">
        <v>12078727</v>
      </c>
    </row>
    <row r="8" spans="1:6" ht="18" thickBot="1" x14ac:dyDescent="0.55000000000000004">
      <c r="A8" s="57">
        <v>45839</v>
      </c>
      <c r="B8" s="44" t="s">
        <v>10</v>
      </c>
      <c r="C8" s="101">
        <v>2433575.56</v>
      </c>
      <c r="D8" s="101">
        <v>3592863.68</v>
      </c>
      <c r="E8" s="101">
        <v>7903503.71</v>
      </c>
      <c r="F8" s="101">
        <v>12225526.25</v>
      </c>
    </row>
    <row r="9" spans="1:6" ht="18" thickBot="1" x14ac:dyDescent="0.55000000000000004">
      <c r="A9" s="57">
        <v>45870</v>
      </c>
      <c r="B9" s="44" t="s">
        <v>11</v>
      </c>
      <c r="C9" s="101">
        <v>3558840</v>
      </c>
      <c r="D9" s="101">
        <v>3324616.71</v>
      </c>
      <c r="E9" s="101">
        <v>7828723</v>
      </c>
      <c r="F9" s="101">
        <v>13401617</v>
      </c>
    </row>
    <row r="10" spans="1:6" ht="18" thickBot="1" x14ac:dyDescent="0.55000000000000004">
      <c r="A10" s="57">
        <v>45901</v>
      </c>
      <c r="B10" s="44" t="s">
        <v>12</v>
      </c>
      <c r="C10" s="101">
        <v>3162495</v>
      </c>
      <c r="D10" s="101">
        <v>5026951.621363</v>
      </c>
      <c r="E10" s="101">
        <v>6467365</v>
      </c>
      <c r="F10" s="101">
        <v>12780666.800000001</v>
      </c>
    </row>
    <row r="11" spans="1:6" ht="18" thickBot="1" x14ac:dyDescent="0.55000000000000004">
      <c r="A11" s="57">
        <v>45931</v>
      </c>
      <c r="B11" s="44" t="s">
        <v>13</v>
      </c>
      <c r="C11" s="101">
        <v>5325887.807635</v>
      </c>
      <c r="D11" s="101">
        <v>4895470.8068080004</v>
      </c>
      <c r="E11" s="101">
        <v>5394132.1162010003</v>
      </c>
      <c r="F11" s="101">
        <v>12157900.196091</v>
      </c>
    </row>
    <row r="12" spans="1:6" ht="18" thickBot="1" x14ac:dyDescent="0.55000000000000004">
      <c r="A12" s="57">
        <v>45962</v>
      </c>
      <c r="B12" s="44" t="s">
        <v>14</v>
      </c>
      <c r="C12" s="101">
        <v>7525935.4100000001</v>
      </c>
      <c r="D12" s="101">
        <v>4262515.33</v>
      </c>
      <c r="E12" s="101">
        <v>5341378.17</v>
      </c>
      <c r="F12" s="101">
        <v>13179146.02</v>
      </c>
    </row>
    <row r="13" spans="1:6" ht="18" thickBot="1" x14ac:dyDescent="0.55000000000000004">
      <c r="A13" s="57">
        <v>45992</v>
      </c>
      <c r="B13" s="46" t="s">
        <v>15</v>
      </c>
      <c r="C13" s="101">
        <v>7378341.6699999999</v>
      </c>
      <c r="D13" s="101">
        <v>5740464.0499999998</v>
      </c>
      <c r="E13" s="101">
        <v>5940487.9299999997</v>
      </c>
      <c r="F13" s="101">
        <v>13588655.26</v>
      </c>
    </row>
  </sheetData>
  <sheetProtection algorithmName="SHA-512" hashValue="QW9RQV0IkD1OYa5FhHW32Ds71AUFnrNWpiE41jU5VcnyxYJjYK5ap721v5SmcynWDWieWObMylfjBbidMwGGlw==" saltValue="x/xwUECkMNiETF4HE2HCm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3"/>
  <sheetViews>
    <sheetView showGridLines="0" workbookViewId="0">
      <pane ySplit="1" topLeftCell="A2" activePane="bottomLeft" state="frozen"/>
      <selection activeCell="C15" sqref="C15"/>
      <selection pane="bottomLeft" activeCell="F2" sqref="F2:F13"/>
    </sheetView>
  </sheetViews>
  <sheetFormatPr defaultColWidth="8.5546875" defaultRowHeight="14.4" x14ac:dyDescent="0.3"/>
  <cols>
    <col min="1" max="1" width="14.5546875" bestFit="1" customWidth="1"/>
    <col min="2" max="2" width="12.44140625" bestFit="1" customWidth="1"/>
    <col min="3" max="3" width="20.88671875" bestFit="1" customWidth="1"/>
    <col min="4" max="4" width="23.5546875" customWidth="1"/>
    <col min="5" max="5" width="27.44140625" bestFit="1" customWidth="1"/>
    <col min="6" max="6" width="24.5546875" customWidth="1"/>
    <col min="7" max="7" width="24" customWidth="1"/>
    <col min="8" max="8" width="16.5546875" bestFit="1" customWidth="1"/>
    <col min="9" max="9" width="21.5546875" customWidth="1"/>
    <col min="10" max="10" width="22.5546875" customWidth="1"/>
  </cols>
  <sheetData>
    <row r="1" spans="1:10" ht="24" thickBot="1" x14ac:dyDescent="0.75">
      <c r="A1" s="83" t="s">
        <v>0</v>
      </c>
      <c r="B1" s="84" t="s">
        <v>1</v>
      </c>
      <c r="C1" s="84" t="s">
        <v>133</v>
      </c>
      <c r="D1" s="84" t="s">
        <v>134</v>
      </c>
      <c r="E1" s="84" t="s">
        <v>135</v>
      </c>
      <c r="F1" s="84" t="s">
        <v>136</v>
      </c>
      <c r="G1" s="84" t="s">
        <v>137</v>
      </c>
      <c r="H1" s="84" t="s">
        <v>138</v>
      </c>
      <c r="I1" s="85" t="s">
        <v>139</v>
      </c>
    </row>
    <row r="2" spans="1:10" ht="17.399999999999999" x14ac:dyDescent="0.5">
      <c r="A2" s="57">
        <v>45658</v>
      </c>
      <c r="B2" s="82" t="s">
        <v>4</v>
      </c>
      <c r="C2" s="92">
        <f t="array" ref="C2:C13">TRANSPOSE('[1]Estoque GeralxCorporativo'!$C$23:$N$23)</f>
        <v>3880968.43</v>
      </c>
      <c r="D2" s="92">
        <v>5621176.4900000002</v>
      </c>
      <c r="E2" s="92">
        <f t="array" ref="E2:E13">TRANSPOSE('[1]Estoque GeralxCorporativo'!$C$12:$N$12)</f>
        <v>15310440.810000001</v>
      </c>
      <c r="F2" s="92">
        <f t="array" ref="F2:F13">TRANSPOSE('[1]Estoque GeralxCorporativo'!$C$24:$N$24)</f>
        <v>17156601.149999999</v>
      </c>
      <c r="G2" s="92">
        <f t="array" ref="G2:G13">TRANSPOSE('[1]Estoque GeralxCorporativo'!$C$21:$N$21)</f>
        <v>33481125.18</v>
      </c>
      <c r="H2" s="92">
        <f t="array" ref="H2:H13">TRANSPOSE('[1]Estoque GeralxCorporativo'!$C$11:$N$11)</f>
        <v>408801</v>
      </c>
      <c r="I2" s="92">
        <f t="array" ref="I2:I13">TRANSPOSE('[1]Estoque GeralxCorporativo'!$C$13:$N$13)</f>
        <v>396012</v>
      </c>
      <c r="J2" s="86"/>
    </row>
    <row r="3" spans="1:10" ht="17.399999999999999" x14ac:dyDescent="0.5">
      <c r="A3" s="43">
        <v>45689</v>
      </c>
      <c r="B3" s="44" t="s">
        <v>5</v>
      </c>
      <c r="C3" s="93">
        <v>3274896.5</v>
      </c>
      <c r="D3" s="93">
        <v>5885632.3599999994</v>
      </c>
      <c r="E3" s="93">
        <v>13856284.890000001</v>
      </c>
      <c r="F3" s="93">
        <v>15851702.08</v>
      </c>
      <c r="G3" s="93">
        <v>32790823.149999999</v>
      </c>
      <c r="H3" s="93">
        <v>612600.02</v>
      </c>
      <c r="I3" s="93">
        <v>355013</v>
      </c>
    </row>
    <row r="4" spans="1:10" ht="17.399999999999999" x14ac:dyDescent="0.5">
      <c r="A4" s="43">
        <v>45717</v>
      </c>
      <c r="B4" s="44" t="s">
        <v>6</v>
      </c>
      <c r="C4" s="93">
        <v>2077475.19</v>
      </c>
      <c r="D4" s="93">
        <v>6105118.6899999995</v>
      </c>
      <c r="E4" s="93">
        <v>12622315.9</v>
      </c>
      <c r="F4" s="93">
        <v>14676141.880000001</v>
      </c>
      <c r="G4" s="93">
        <v>32295609.309999999</v>
      </c>
      <c r="H4" s="93">
        <v>527003.03</v>
      </c>
      <c r="I4" s="93">
        <v>211014</v>
      </c>
    </row>
    <row r="5" spans="1:10" ht="17.399999999999999" x14ac:dyDescent="0.5">
      <c r="A5" s="43">
        <v>45748</v>
      </c>
      <c r="B5" s="44" t="s">
        <v>7</v>
      </c>
      <c r="C5" s="93">
        <v>2699588.71</v>
      </c>
      <c r="D5" s="93">
        <v>6135259.9199999999</v>
      </c>
      <c r="E5" s="93">
        <v>12260430.02</v>
      </c>
      <c r="F5" s="93">
        <v>13586200.609999999</v>
      </c>
      <c r="G5" s="93">
        <v>31532636.239999998</v>
      </c>
      <c r="H5" s="93">
        <v>427404.01</v>
      </c>
      <c r="I5" s="93">
        <v>318015</v>
      </c>
    </row>
    <row r="6" spans="1:10" ht="17.399999999999999" x14ac:dyDescent="0.5">
      <c r="A6" s="43">
        <v>45778</v>
      </c>
      <c r="B6" s="44" t="s">
        <v>8</v>
      </c>
      <c r="C6" s="93">
        <v>1434842.4</v>
      </c>
      <c r="D6" s="93">
        <v>5510105.9000000004</v>
      </c>
      <c r="E6" s="93">
        <v>11312325.380000001</v>
      </c>
      <c r="F6" s="93">
        <v>11426299.34</v>
      </c>
      <c r="G6" s="93">
        <v>31584364.809999999</v>
      </c>
      <c r="H6" s="93">
        <v>116605.95</v>
      </c>
      <c r="I6" s="93">
        <v>417016</v>
      </c>
    </row>
    <row r="7" spans="1:10" ht="17.399999999999999" x14ac:dyDescent="0.5">
      <c r="A7" s="43">
        <v>45809</v>
      </c>
      <c r="B7" s="44" t="s">
        <v>9</v>
      </c>
      <c r="C7" s="93">
        <v>2990945</v>
      </c>
      <c r="D7" s="93">
        <v>5551884.0899999999</v>
      </c>
      <c r="E7" s="93">
        <v>8165881</v>
      </c>
      <c r="F7" s="93">
        <v>12078727</v>
      </c>
      <c r="G7" s="93">
        <v>30804563.43</v>
      </c>
      <c r="H7" s="93">
        <v>71406.600000000006</v>
      </c>
      <c r="I7" s="93">
        <v>403317</v>
      </c>
    </row>
    <row r="8" spans="1:10" ht="17.399999999999999" x14ac:dyDescent="0.5">
      <c r="A8" s="43">
        <v>45839</v>
      </c>
      <c r="B8" s="44" t="s">
        <v>10</v>
      </c>
      <c r="C8" s="93">
        <v>2433575.56</v>
      </c>
      <c r="D8" s="93">
        <v>3592863.68</v>
      </c>
      <c r="E8" s="93">
        <v>7903503.71</v>
      </c>
      <c r="F8" s="93">
        <v>12225526.25</v>
      </c>
      <c r="G8" s="93">
        <v>30261923.640000001</v>
      </c>
      <c r="H8" s="93">
        <v>278270.28000000003</v>
      </c>
      <c r="I8" s="93">
        <v>259686.09</v>
      </c>
    </row>
    <row r="9" spans="1:10" ht="17.399999999999999" x14ac:dyDescent="0.5">
      <c r="A9" s="43">
        <v>45870</v>
      </c>
      <c r="B9" s="44" t="s">
        <v>11</v>
      </c>
      <c r="C9" s="93">
        <v>3558840</v>
      </c>
      <c r="D9" s="93">
        <v>3324616.71</v>
      </c>
      <c r="E9" s="93">
        <v>7828723</v>
      </c>
      <c r="F9" s="93">
        <v>13401617</v>
      </c>
      <c r="G9" s="93">
        <v>29909121.600000001</v>
      </c>
      <c r="H9" s="93">
        <v>198596</v>
      </c>
      <c r="I9" s="93">
        <v>330493</v>
      </c>
    </row>
    <row r="10" spans="1:10" ht="17.399999999999999" x14ac:dyDescent="0.5">
      <c r="A10" s="43">
        <v>45901</v>
      </c>
      <c r="B10" s="44" t="s">
        <v>12</v>
      </c>
      <c r="C10" s="93">
        <v>3162495</v>
      </c>
      <c r="D10" s="93">
        <v>5026951.621363</v>
      </c>
      <c r="E10" s="93">
        <v>6467365</v>
      </c>
      <c r="F10" s="93">
        <v>12780666.800000001</v>
      </c>
      <c r="G10" s="93">
        <v>31732927.419999998</v>
      </c>
      <c r="H10" s="93">
        <v>326694.76</v>
      </c>
      <c r="I10" s="93">
        <v>218832.77</v>
      </c>
    </row>
    <row r="11" spans="1:10" ht="17.399999999999999" x14ac:dyDescent="0.5">
      <c r="A11" s="43">
        <v>45931</v>
      </c>
      <c r="B11" s="44" t="s">
        <v>13</v>
      </c>
      <c r="C11" s="93">
        <v>5325887.807635</v>
      </c>
      <c r="D11" s="93">
        <v>4895470.8068080004</v>
      </c>
      <c r="E11" s="93">
        <v>5394132.1162010003</v>
      </c>
      <c r="F11" s="93">
        <v>12157900.196091</v>
      </c>
      <c r="G11" s="93">
        <v>31810243.830710001</v>
      </c>
      <c r="H11" s="93">
        <v>317638.05113899999</v>
      </c>
      <c r="I11" s="93">
        <v>493472.55597599997</v>
      </c>
    </row>
    <row r="12" spans="1:10" ht="17.399999999999999" x14ac:dyDescent="0.5">
      <c r="A12" s="43">
        <v>45962</v>
      </c>
      <c r="B12" s="44" t="s">
        <v>14</v>
      </c>
      <c r="C12" s="93">
        <v>7525935.4100000001</v>
      </c>
      <c r="D12" s="93">
        <v>4262515.33</v>
      </c>
      <c r="E12" s="93">
        <v>5341378.17</v>
      </c>
      <c r="F12" s="93">
        <v>13179146.02</v>
      </c>
      <c r="G12" s="93">
        <v>31189005.559999999</v>
      </c>
      <c r="H12" s="93">
        <v>190178.01800000001</v>
      </c>
      <c r="I12" s="93">
        <v>362894.52</v>
      </c>
    </row>
    <row r="13" spans="1:10" ht="18" thickBot="1" x14ac:dyDescent="0.55000000000000004">
      <c r="A13" s="45">
        <v>45992</v>
      </c>
      <c r="B13" s="46" t="s">
        <v>15</v>
      </c>
      <c r="C13" s="93">
        <v>7378341.6699999999</v>
      </c>
      <c r="D13" s="93">
        <v>5740464.0499999998</v>
      </c>
      <c r="E13" s="93">
        <v>5940487.9299999997</v>
      </c>
      <c r="F13" s="93">
        <v>13588655.26</v>
      </c>
      <c r="G13" s="93">
        <v>31098260.149999999</v>
      </c>
      <c r="H13" s="93">
        <v>1193661.3</v>
      </c>
      <c r="I13" s="93">
        <v>422441.79</v>
      </c>
    </row>
  </sheetData>
  <sheetProtection algorithmName="SHA-512" hashValue="lZVxySIwmlsjDaTC2nxVKCFoSjw3BegPurtSc/UC5bc+hIn2Mjj3TfbW15/0DI78zZPcnQyTbHJOA0jmYoBXTg==" saltValue="zr5wcrSKr1Xw+4YyZnDdKw==" spinCount="100000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SC</vt:lpstr>
      <vt:lpstr>S.A.</vt:lpstr>
      <vt:lpstr>Reservas</vt:lpstr>
      <vt:lpstr>Notas Fiscais</vt:lpstr>
      <vt:lpstr>NF Serviços</vt:lpstr>
      <vt:lpstr>Devolução</vt:lpstr>
      <vt:lpstr>Frete Geral</vt:lpstr>
      <vt:lpstr>Frete (Outros)</vt:lpstr>
      <vt:lpstr>Qualidade</vt:lpstr>
      <vt:lpstr>Saída Reparo</vt:lpstr>
      <vt:lpstr>Retorno Reparo</vt:lpstr>
      <vt:lpstr>Refratário</vt:lpstr>
      <vt:lpstr>Inventário Geral</vt:lpstr>
      <vt:lpstr>Armazém Insumos</vt:lpstr>
      <vt:lpstr>Tabela Insumos</vt:lpstr>
      <vt:lpstr>Obsolescência</vt:lpstr>
      <vt:lpstr>Apuração Armazéns</vt:lpstr>
      <vt:lpstr>Estoque Geral Cariacica 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Bernardes Silva</dc:creator>
  <cp:lastModifiedBy>Diego Bernardes</cp:lastModifiedBy>
  <cp:revision/>
  <cp:lastPrinted>2025-06-13T15:13:18Z</cp:lastPrinted>
  <dcterms:created xsi:type="dcterms:W3CDTF">2015-06-05T18:19:34Z</dcterms:created>
  <dcterms:modified xsi:type="dcterms:W3CDTF">2026-01-21T18:37:26Z</dcterms:modified>
</cp:coreProperties>
</file>